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https://lwsd-my.sharepoint.com/personal/s-dsarda_lwsd_org/Documents/11th grade/ROV/"/>
    </mc:Choice>
  </mc:AlternateContent>
  <xr:revisionPtr revIDLastSave="26" documentId="13_ncr:1_{9440F206-7963-44AE-BA27-BB90D7F9442A}" xr6:coauthVersionLast="36" xr6:coauthVersionMax="40" xr10:uidLastSave="{B1EFCEB9-BE59-4A04-812B-538C984CCF47}"/>
  <bookViews>
    <workbookView xWindow="0" yWindow="0" windowWidth="21600" windowHeight="9285" xr2:uid="{00000000-000D-0000-FFFF-FFFF00000000}"/>
  </bookViews>
  <sheets>
    <sheet name="Thruster Calcs" sheetId="1" r:id="rId1"/>
    <sheet name="Design" sheetId="2" r:id="rId2"/>
    <sheet name="Tables" sheetId="3" r:id="rId3"/>
  </sheets>
  <functionGroups builtInGroupCount="19"/>
  <definedNames>
    <definedName name="CalculatedROVThrust">'Thruster Calcs'!$S$21:$S$26</definedName>
    <definedName name="CommandedThrust">'Thruster Calcs'!$O$21:$O$26</definedName>
    <definedName name="ComputedThrust">'Thruster Calcs'!$W$21:$W$26</definedName>
    <definedName name="ForceScaleFactor">'Thruster Calcs'!$AF$39</definedName>
    <definedName name="FwdDir">'Thruster Calcs'!$E$4</definedName>
    <definedName name="LateralThrusterElevationAngle">'Thruster Calcs'!$E$5</definedName>
    <definedName name="MaximumTotalThrust">'Thruster Calcs'!$Q$28</definedName>
    <definedName name="MaxTotalRequirement">'Thruster Calcs'!$W$40</definedName>
    <definedName name="MaxValues">'Thruster Calcs'!$J$21:$J$26</definedName>
    <definedName name="PilotInput">'Thruster Calcs'!$M$21:$M$26</definedName>
    <definedName name="ROV_Box">'Thruster Calcs'!$B$37:$I$39</definedName>
    <definedName name="ROV_ControlMatrix">'Thruster Calcs'!$C$21:$H$26</definedName>
    <definedName name="ROV_Elements">Design!$H$6:$L$75</definedName>
    <definedName name="ROV_Nodes">Design!$B$6:$E$45</definedName>
    <definedName name="ScaledThrustVectorsForPlotting">'Thruster Calcs'!$AF$32:$AH$37</definedName>
    <definedName name="solver_adj" localSheetId="0" hidden="1">'Thruster Calcs'!$M$21:$M$26</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'Thruster Calcs'!$M$21:$M$26</definedName>
    <definedName name="solver_lhs2" localSheetId="0" hidden="1">'Thruster Calcs'!$M$21:$M$26</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2</definedName>
    <definedName name="solver_nwt" localSheetId="0" hidden="1">1</definedName>
    <definedName name="solver_opt" localSheetId="0" hidden="1">'Thruster Calcs'!$Q$26</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definedName>
    <definedName name="solver_rhs2" localSheetId="0" hidden="1">-100</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 name="ThrustDirection">'Thruster Calcs'!$C$17:$H$19</definedName>
    <definedName name="Thruster1">'Thruster Calcs'!$C$21:$C$26</definedName>
    <definedName name="Thruster2">'Thruster Calcs'!$D$21:$D$26</definedName>
    <definedName name="Thruster3">'Thruster Calcs'!$E$21:$E$26</definedName>
    <definedName name="Thruster4">'Thruster Calcs'!$F$21:$F$26</definedName>
    <definedName name="Thruster5">'Thruster Calcs'!$G$21:$G$26</definedName>
    <definedName name="Thruster6">'Thruster Calcs'!$H$21:$H$26</definedName>
    <definedName name="ThrusterLocations">'Thruster Calcs'!$C$11:$H$13</definedName>
    <definedName name="ThrusterThrust">'Thruster Calcs'!$Q$21:$Q$26</definedName>
    <definedName name="ThrusterToExclude">'Thruster Calcs'!$D$30</definedName>
    <definedName name="ToeInAngle">'Thruster Calcs'!$E$6</definedName>
    <definedName name="TubeSizes">Tables!$B$4:$B$14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1" l="1"/>
  <c r="C17" i="1" l="1"/>
  <c r="C19" i="1" l="1"/>
  <c r="D17" i="1"/>
  <c r="F17" i="1"/>
  <c r="F18" i="1" l="1"/>
  <c r="E18" i="1"/>
  <c r="E17" i="1"/>
  <c r="D18" i="1"/>
  <c r="C18" i="1"/>
  <c r="F19" i="1" l="1"/>
  <c r="E19" i="1"/>
  <c r="D19" i="1"/>
  <c r="G31" i="1" l="1"/>
  <c r="AE33" i="1" l="1"/>
  <c r="AE34" i="1"/>
  <c r="AE35" i="1" l="1"/>
  <c r="D14" i="1" l="1"/>
  <c r="AC33" i="1" s="1"/>
  <c r="AC46" i="1" s="1"/>
  <c r="E14" i="1"/>
  <c r="AC34" i="1" s="1"/>
  <c r="AC49" i="1" s="1"/>
  <c r="F14" i="1"/>
  <c r="AC35" i="1" s="1"/>
  <c r="AC52" i="1" s="1"/>
  <c r="AC36" i="1"/>
  <c r="AC55" i="1" s="1"/>
  <c r="H14" i="1"/>
  <c r="AC37" i="1" s="1"/>
  <c r="AC58" i="1" s="1"/>
  <c r="D15" i="1"/>
  <c r="AD33" i="1" s="1"/>
  <c r="AD46" i="1" s="1"/>
  <c r="E15" i="1"/>
  <c r="AD34" i="1" s="1"/>
  <c r="AD49" i="1" s="1"/>
  <c r="F15" i="1"/>
  <c r="AD35" i="1" s="1"/>
  <c r="AD52" i="1" s="1"/>
  <c r="G15" i="1"/>
  <c r="AD36" i="1" s="1"/>
  <c r="AD55" i="1" s="1"/>
  <c r="H15" i="1"/>
  <c r="AD37" i="1" s="1"/>
  <c r="AD58" i="1" s="1"/>
  <c r="D16" i="1"/>
  <c r="E16" i="1"/>
  <c r="F16" i="1"/>
  <c r="G16" i="1"/>
  <c r="H16" i="1"/>
  <c r="C16" i="1"/>
  <c r="AE32" i="1" s="1"/>
  <c r="C15" i="1"/>
  <c r="AD32" i="1" s="1"/>
  <c r="AD43" i="1" s="1"/>
  <c r="C14" i="1"/>
  <c r="AC32" i="1" s="1"/>
  <c r="AC43" i="1" s="1"/>
  <c r="H20" i="1" l="1"/>
  <c r="H22" i="1" s="1"/>
  <c r="G20" i="1"/>
  <c r="G23" i="1" s="1"/>
  <c r="F20" i="1"/>
  <c r="F21" i="1" s="1"/>
  <c r="E20" i="1"/>
  <c r="E23" i="1" s="1"/>
  <c r="D20" i="1"/>
  <c r="D22" i="1" s="1"/>
  <c r="C20" i="1"/>
  <c r="C21" i="1" s="1"/>
  <c r="C23" i="1" l="1"/>
  <c r="AE36" i="1"/>
  <c r="G21" i="1"/>
  <c r="H23" i="1"/>
  <c r="H21" i="1"/>
  <c r="G22" i="1"/>
  <c r="F22" i="1"/>
  <c r="F23" i="1"/>
  <c r="E22" i="1"/>
  <c r="E21" i="1"/>
  <c r="D21" i="1"/>
  <c r="D23" i="1"/>
  <c r="C22" i="1"/>
  <c r="J22" i="1" l="1"/>
  <c r="O22" i="1" s="1"/>
  <c r="F24" i="1"/>
  <c r="J23" i="1"/>
  <c r="C24" i="1"/>
  <c r="J21" i="1"/>
  <c r="G26" i="1"/>
  <c r="G25" i="1"/>
  <c r="G24" i="1"/>
  <c r="D24" i="1"/>
  <c r="D25" i="1"/>
  <c r="D26" i="1"/>
  <c r="E25" i="1"/>
  <c r="AE37" i="1"/>
  <c r="F25" i="1"/>
  <c r="F26" i="1"/>
  <c r="H26" i="1"/>
  <c r="H24" i="1"/>
  <c r="C25" i="1"/>
  <c r="E26" i="1"/>
  <c r="H25" i="1"/>
  <c r="I23" i="1"/>
  <c r="E24" i="1"/>
  <c r="C26" i="1"/>
  <c r="I21" i="1"/>
  <c r="I22" i="1"/>
  <c r="O23" i="1" l="1"/>
  <c r="J24" i="1"/>
  <c r="J25" i="1"/>
  <c r="J26" i="1"/>
  <c r="O21" i="1"/>
  <c r="I25" i="1"/>
  <c r="I24" i="1"/>
  <c r="I26" i="1"/>
  <c r="O24" i="1" l="1"/>
  <c r="O25" i="1"/>
  <c r="O26" i="1"/>
  <c r="C56" i="1" a="1"/>
  <c r="C58" i="1" s="1"/>
  <c r="R33" i="1" a="1"/>
  <c r="T33" i="1" a="1"/>
  <c r="O33" i="1" a="1"/>
  <c r="S33" i="1" a="1"/>
  <c r="Q33" i="1" a="1"/>
  <c r="P33" i="1" a="1"/>
  <c r="Q21" i="1" a="1"/>
  <c r="O38" i="1" l="1"/>
  <c r="O34" i="1"/>
  <c r="O36" i="1"/>
  <c r="O35" i="1"/>
  <c r="O37" i="1"/>
  <c r="O33" i="1"/>
  <c r="Q22" i="1"/>
  <c r="Q23" i="1"/>
  <c r="Q21" i="1"/>
  <c r="Q24" i="1"/>
  <c r="Q26" i="1"/>
  <c r="Q25" i="1"/>
  <c r="C57" i="1"/>
  <c r="C56" i="1"/>
  <c r="C61" i="1"/>
  <c r="C60" i="1"/>
  <c r="C59" i="1"/>
  <c r="T35" i="1"/>
  <c r="T36" i="1"/>
  <c r="T34" i="1"/>
  <c r="T38" i="1"/>
  <c r="T37" i="1"/>
  <c r="T33" i="1"/>
  <c r="Q36" i="1"/>
  <c r="Q34" i="1"/>
  <c r="Q38" i="1"/>
  <c r="Q33" i="1"/>
  <c r="Q37" i="1"/>
  <c r="Q35" i="1"/>
  <c r="P37" i="1"/>
  <c r="P36" i="1"/>
  <c r="P35" i="1"/>
  <c r="P34" i="1"/>
  <c r="P38" i="1"/>
  <c r="P33" i="1"/>
  <c r="S37" i="1"/>
  <c r="S35" i="1"/>
  <c r="S34" i="1"/>
  <c r="S38" i="1"/>
  <c r="S36" i="1"/>
  <c r="S33" i="1"/>
  <c r="R36" i="1"/>
  <c r="R33" i="1"/>
  <c r="R34" i="1"/>
  <c r="R37" i="1"/>
  <c r="R35" i="1"/>
  <c r="R38" i="1"/>
  <c r="S21" i="1" a="1"/>
  <c r="R25" i="1" l="1"/>
  <c r="R26" i="1"/>
  <c r="R21" i="1"/>
  <c r="R24" i="1"/>
  <c r="Q28" i="1"/>
  <c r="R22" i="1"/>
  <c r="R23" i="1"/>
  <c r="S21" i="1"/>
  <c r="S23" i="1"/>
  <c r="S26" i="1"/>
  <c r="S25" i="1"/>
  <c r="S22" i="1"/>
  <c r="S24" i="1"/>
  <c r="W38" i="1"/>
  <c r="W37" i="1"/>
  <c r="W35" i="1"/>
  <c r="W33" i="1"/>
  <c r="W34" i="1"/>
  <c r="W36" i="1"/>
  <c r="U21" i="1" l="1"/>
  <c r="W40" i="1"/>
  <c r="Y34" i="1" s="1"/>
  <c r="U23" i="1" l="1"/>
  <c r="Y33" i="1"/>
  <c r="Y37" i="1"/>
  <c r="Y35" i="1"/>
  <c r="Y36" i="1"/>
  <c r="Y38" i="1"/>
  <c r="W23" i="1" l="1"/>
  <c r="V23" i="1" s="1"/>
  <c r="W21" i="1"/>
  <c r="V21" i="1" s="1"/>
  <c r="AD21" i="1" s="1"/>
  <c r="W25" i="1"/>
  <c r="X25" i="1" s="1"/>
  <c r="W22" i="1"/>
  <c r="V22" i="1" s="1"/>
  <c r="AF22" i="1" s="1"/>
  <c r="W24" i="1"/>
  <c r="V24" i="1" s="1"/>
  <c r="AA24" i="1" s="1"/>
  <c r="AF35" i="1" s="1"/>
  <c r="AC53" i="1" s="1"/>
  <c r="W26" i="1"/>
  <c r="V26" i="1" s="1"/>
  <c r="Y40" i="1"/>
  <c r="Y24" i="1" l="1"/>
  <c r="Y21" i="1"/>
  <c r="Y25" i="1"/>
  <c r="V25" i="1"/>
  <c r="AB25" i="1" s="1"/>
  <c r="AG36" i="1" s="1"/>
  <c r="AD56" i="1" s="1"/>
  <c r="AA21" i="1"/>
  <c r="AF32" i="1" s="1"/>
  <c r="AC44" i="1" s="1"/>
  <c r="AE21" i="1"/>
  <c r="AE24" i="1"/>
  <c r="AC21" i="1"/>
  <c r="AH32" i="1" s="1"/>
  <c r="X21" i="1"/>
  <c r="AB21" i="1"/>
  <c r="AG32" i="1" s="1"/>
  <c r="AD44" i="1" s="1"/>
  <c r="AF21" i="1"/>
  <c r="Y23" i="1"/>
  <c r="X23" i="1"/>
  <c r="AD24" i="1"/>
  <c r="X26" i="1"/>
  <c r="AC24" i="1"/>
  <c r="AH35" i="1" s="1"/>
  <c r="Y26" i="1"/>
  <c r="AB24" i="1"/>
  <c r="AG35" i="1" s="1"/>
  <c r="AD53" i="1" s="1"/>
  <c r="AF24" i="1"/>
  <c r="AD22" i="1"/>
  <c r="X24" i="1"/>
  <c r="Y22" i="1"/>
  <c r="AC22" i="1"/>
  <c r="AH33" i="1" s="1"/>
  <c r="AE22" i="1"/>
  <c r="X22" i="1"/>
  <c r="AB22" i="1"/>
  <c r="AG33" i="1" s="1"/>
  <c r="AD47" i="1" s="1"/>
  <c r="AA22" i="1"/>
  <c r="AF33" i="1" s="1"/>
  <c r="AC47" i="1" s="1"/>
  <c r="AF26" i="1"/>
  <c r="AD26" i="1"/>
  <c r="AE26" i="1"/>
  <c r="AC26" i="1"/>
  <c r="AH37" i="1" s="1"/>
  <c r="AB26" i="1"/>
  <c r="AG37" i="1" s="1"/>
  <c r="AD59" i="1" s="1"/>
  <c r="AC23" i="1"/>
  <c r="AH34" i="1" s="1"/>
  <c r="AE23" i="1"/>
  <c r="AF23" i="1"/>
  <c r="AD23" i="1"/>
  <c r="AB23" i="1"/>
  <c r="AA26" i="1"/>
  <c r="AF37" i="1" s="1"/>
  <c r="AC59" i="1" s="1"/>
  <c r="AA23" i="1"/>
  <c r="AF34" i="1" s="1"/>
  <c r="AC50" i="1" s="1"/>
  <c r="AC25" i="1" l="1"/>
  <c r="AH36" i="1" s="1"/>
  <c r="AD25" i="1"/>
  <c r="AD28" i="1" s="1"/>
  <c r="AF25" i="1"/>
  <c r="AF28" i="1" s="1"/>
  <c r="AA25" i="1"/>
  <c r="AF36" i="1" s="1"/>
  <c r="AC56" i="1" s="1"/>
  <c r="AE25" i="1"/>
  <c r="AE28" i="1" s="1"/>
  <c r="Y28" i="1"/>
  <c r="AB28" i="1"/>
  <c r="AG34" i="1"/>
  <c r="AD50" i="1" s="1"/>
  <c r="AC28" i="1" l="1"/>
  <c r="AA2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sergev</author>
  </authors>
  <commentList>
    <comment ref="B10" authorId="0" shapeId="0" xr:uid="{22E1E958-DFED-457D-996A-239A06109665}">
      <text>
        <r>
          <rPr>
            <b/>
            <sz val="9"/>
            <color indexed="81"/>
            <rFont val="Tahoma"/>
            <charset val="1"/>
          </rPr>
          <t>This line is the maximum relative thrust produced by each thruster.  
If one has a larger capability than the others, the results will be scaled appropriately for that thruster.</t>
        </r>
        <r>
          <rPr>
            <sz val="9"/>
            <color indexed="81"/>
            <rFont val="Tahoma"/>
            <charset val="1"/>
          </rPr>
          <t xml:space="preserve">
</t>
        </r>
      </text>
    </comment>
    <comment ref="J20" authorId="0" shapeId="0" xr:uid="{00000000-0006-0000-0000-000001000000}">
      <text>
        <r>
          <rPr>
            <b/>
            <sz val="9"/>
            <color indexed="81"/>
            <rFont val="Tahoma"/>
            <family val="2"/>
          </rPr>
          <t xml:space="preserve">This is an attempt to provide realistic 100% thrust levels (which are the maximum that can be achieved if all thrusters are activated at full (unit) thrust).  The absolute value is used in summing each row as the values in the row are both + and - but all inputs are +1 unit of thrust and we have to assume that -1 could be commanded instead, so we sum up assuming all positive values.  
Thus, if the pilot requests +100% for this input (either translation or rotation depending on the row), the Max is the input value for the RHS.  Actually, the pilot input percentage multiplies these values and the individual thruster values are solved for to meet these requirements.
</t>
        </r>
      </text>
    </comment>
    <comment ref="M20" authorId="0" shapeId="0" xr:uid="{00000000-0006-0000-0000-000002000000}">
      <text>
        <r>
          <rPr>
            <b/>
            <sz val="9"/>
            <color indexed="81"/>
            <rFont val="Tahoma"/>
            <family val="2"/>
          </rPr>
          <t xml:space="preserve">Controller inputs scaled to
-100% to +100% 
</t>
        </r>
        <r>
          <rPr>
            <b/>
            <sz val="9"/>
            <color indexed="12"/>
            <rFont val="Tahoma"/>
            <family val="2"/>
          </rPr>
          <t>Inputs are from the ROV Control Form</t>
        </r>
        <r>
          <rPr>
            <b/>
            <sz val="9"/>
            <color indexed="81"/>
            <rFont val="Tahoma"/>
            <family val="2"/>
          </rPr>
          <t xml:space="preserve">
</t>
        </r>
      </text>
    </comment>
    <comment ref="O20" authorId="0" shapeId="0" xr:uid="{00000000-0006-0000-0000-000003000000}">
      <text>
        <r>
          <rPr>
            <b/>
            <sz val="9"/>
            <color indexed="81"/>
            <rFont val="Tahoma"/>
            <family val="2"/>
          </rPr>
          <t>Pilot input % converted to decimal</t>
        </r>
      </text>
    </comment>
    <comment ref="Q20" authorId="0" shapeId="0" xr:uid="{00000000-0006-0000-0000-000004000000}">
      <text>
        <r>
          <rPr>
            <b/>
            <sz val="9"/>
            <color indexed="81"/>
            <rFont val="Tahoma"/>
            <family val="2"/>
          </rPr>
          <t xml:space="preserve">This is the solution with the given RHS.  </t>
        </r>
      </text>
    </comment>
    <comment ref="S20" authorId="0" shapeId="0" xr:uid="{00000000-0006-0000-0000-000005000000}">
      <text>
        <r>
          <rPr>
            <b/>
            <sz val="9"/>
            <color indexed="81"/>
            <rFont val="Tahoma"/>
            <family val="2"/>
          </rPr>
          <t>A check to compare with pilot inputs</t>
        </r>
        <r>
          <rPr>
            <sz val="9"/>
            <color indexed="81"/>
            <rFont val="Tahoma"/>
            <family val="2"/>
          </rPr>
          <t xml:space="preserve">
</t>
        </r>
      </text>
    </comment>
    <comment ref="U20" authorId="0" shapeId="0" xr:uid="{00000000-0006-0000-0000-000006000000}">
      <text>
        <r>
          <rPr>
            <b/>
            <sz val="9"/>
            <color indexed="81"/>
            <rFont val="Tahoma"/>
            <family val="2"/>
          </rPr>
          <t xml:space="preserve">Normalize individual thruster output to this value.
Percentage below is the adjusted percent thrust.
</t>
        </r>
      </text>
    </comment>
    <comment ref="W20" authorId="0" shapeId="0" xr:uid="{A7139C81-83FF-4D01-9087-67FE499ABA21}">
      <text>
        <r>
          <rPr>
            <b/>
            <sz val="9"/>
            <color indexed="81"/>
            <rFont val="Tahoma"/>
            <family val="2"/>
          </rPr>
          <t>Thrust normalized so that if the requested pilot input exceeds 100% for any thruster, the max thrust will be 100%</t>
        </r>
        <r>
          <rPr>
            <sz val="9"/>
            <color indexed="81"/>
            <rFont val="Tahoma"/>
            <family val="2"/>
          </rPr>
          <t xml:space="preserve">
</t>
        </r>
      </text>
    </comment>
    <comment ref="Z28" authorId="0" shapeId="0" xr:uid="{00000000-0006-0000-0000-000007000000}">
      <text>
        <r>
          <rPr>
            <b/>
            <sz val="9"/>
            <color indexed="81"/>
            <rFont val="Tahoma"/>
            <family val="2"/>
          </rPr>
          <t xml:space="preserve">Net force/torque on the vehicle
</t>
        </r>
      </text>
    </comment>
    <comment ref="W32" authorId="0" shapeId="0" xr:uid="{00000000-0006-0000-0000-000008000000}">
      <text>
        <r>
          <rPr>
            <b/>
            <sz val="9"/>
            <color indexed="81"/>
            <rFont val="Tahoma"/>
            <family val="2"/>
          </rPr>
          <t>Max requirement for each thruster</t>
        </r>
      </text>
    </comment>
    <comment ref="Y32" authorId="0" shapeId="0" xr:uid="{00000000-0006-0000-0000-000009000000}">
      <text>
        <r>
          <rPr>
            <b/>
            <sz val="9"/>
            <color indexed="81"/>
            <rFont val="Tahoma"/>
            <family val="2"/>
          </rPr>
          <t>Amps to meet max requirement</t>
        </r>
      </text>
    </comment>
    <comment ref="W40" authorId="0" shapeId="0" xr:uid="{00000000-0006-0000-0000-00000A000000}">
      <text>
        <r>
          <rPr>
            <b/>
            <sz val="9"/>
            <color indexed="81"/>
            <rFont val="Tahoma"/>
            <family val="2"/>
          </rPr>
          <t xml:space="preserve">Use this value to normalize the indivudual thruster outputs to calculate voltage
</t>
        </r>
      </text>
    </comment>
  </commentList>
</comments>
</file>

<file path=xl/sharedStrings.xml><?xml version="1.0" encoding="utf-8"?>
<sst xmlns="http://schemas.openxmlformats.org/spreadsheetml/2006/main" count="168" uniqueCount="125">
  <si>
    <t>x-dir</t>
  </si>
  <si>
    <t>y-dir</t>
  </si>
  <si>
    <t>z-dir</t>
  </si>
  <si>
    <t>fx</t>
  </si>
  <si>
    <t>fy</t>
  </si>
  <si>
    <t>fz</t>
  </si>
  <si>
    <r>
      <t>f</t>
    </r>
    <r>
      <rPr>
        <b/>
        <vertAlign val="subscript"/>
        <sz val="11"/>
        <color theme="1"/>
        <rFont val="Calibri"/>
        <family val="2"/>
        <scheme val="minor"/>
      </rPr>
      <t>x</t>
    </r>
  </si>
  <si>
    <r>
      <t>f</t>
    </r>
    <r>
      <rPr>
        <b/>
        <vertAlign val="subscript"/>
        <sz val="11"/>
        <color theme="1"/>
        <rFont val="Calibri"/>
        <family val="2"/>
        <scheme val="minor"/>
      </rPr>
      <t>y</t>
    </r>
  </si>
  <si>
    <r>
      <t>f</t>
    </r>
    <r>
      <rPr>
        <b/>
        <vertAlign val="subscript"/>
        <sz val="11"/>
        <color theme="1"/>
        <rFont val="Calibri"/>
        <family val="2"/>
        <scheme val="minor"/>
      </rPr>
      <t>z</t>
    </r>
  </si>
  <si>
    <r>
      <t>t</t>
    </r>
    <r>
      <rPr>
        <b/>
        <vertAlign val="subscript"/>
        <sz val="11"/>
        <color theme="1"/>
        <rFont val="Calibri"/>
        <family val="2"/>
        <scheme val="minor"/>
      </rPr>
      <t>x</t>
    </r>
  </si>
  <si>
    <r>
      <t>t</t>
    </r>
    <r>
      <rPr>
        <b/>
        <vertAlign val="subscript"/>
        <sz val="11"/>
        <color theme="1"/>
        <rFont val="Calibri"/>
        <family val="2"/>
        <scheme val="minor"/>
      </rPr>
      <t>y</t>
    </r>
  </si>
  <si>
    <r>
      <t>t</t>
    </r>
    <r>
      <rPr>
        <b/>
        <vertAlign val="subscript"/>
        <sz val="11"/>
        <color theme="1"/>
        <rFont val="Calibri"/>
        <family val="2"/>
        <scheme val="minor"/>
      </rPr>
      <t>z</t>
    </r>
  </si>
  <si>
    <t>i</t>
  </si>
  <si>
    <t>j</t>
  </si>
  <si>
    <t>k</t>
  </si>
  <si>
    <t>rx</t>
  </si>
  <si>
    <t>ry</t>
  </si>
  <si>
    <t>rz</t>
  </si>
  <si>
    <t>ry*fz-rz*fy</t>
  </si>
  <si>
    <t>rz*fx-rx*fz</t>
  </si>
  <si>
    <t>rx*fy-ry*fx</t>
  </si>
  <si>
    <t>Max</t>
  </si>
  <si>
    <t>Thrusters</t>
  </si>
  <si>
    <t>Thruster #</t>
  </si>
  <si>
    <t>Thrust</t>
  </si>
  <si>
    <t>Pilot (%)</t>
  </si>
  <si>
    <t>Command</t>
  </si>
  <si>
    <t>calc RHS</t>
  </si>
  <si>
    <t>(RHS)</t>
  </si>
  <si>
    <t>Thruster MIA</t>
  </si>
  <si>
    <t>x-trans</t>
  </si>
  <si>
    <t>y-trans</t>
  </si>
  <si>
    <t>z-trans</t>
  </si>
  <si>
    <t>x-rot</t>
  </si>
  <si>
    <t>y-rot</t>
  </si>
  <si>
    <t>z-rot</t>
  </si>
  <si>
    <t>&lt;===cross product I,j,k torque components</t>
  </si>
  <si>
    <t>z(up)</t>
  </si>
  <si>
    <t>ABS(sum of rows)</t>
  </si>
  <si>
    <t>shaded values are the matrix coefficients</t>
  </si>
  <si>
    <t>cross product (r cross F for torque)</t>
  </si>
  <si>
    <t>Assuming a unit thrust for each thruster</t>
  </si>
  <si>
    <t>x</t>
  </si>
  <si>
    <t>y</t>
  </si>
  <si>
    <t>z</t>
  </si>
  <si>
    <t>L Front lwr</t>
  </si>
  <si>
    <t>R front lwr</t>
  </si>
  <si>
    <t>R Rear lwr</t>
  </si>
  <si>
    <t>L Rear lwr</t>
  </si>
  <si>
    <t>L Front upr</t>
  </si>
  <si>
    <t>R front upr</t>
  </si>
  <si>
    <t>R Rear upr</t>
  </si>
  <si>
    <t>L Rear upr</t>
  </si>
  <si>
    <t>ROV Box</t>
  </si>
  <si>
    <t>sum</t>
  </si>
  <si>
    <t>CG</t>
  </si>
  <si>
    <t>X</t>
  </si>
  <si>
    <t>Y</t>
  </si>
  <si>
    <t>Z</t>
  </si>
  <si>
    <t>% Thrust</t>
  </si>
  <si>
    <t xml:space="preserve">Max </t>
  </si>
  <si>
    <t>Tx</t>
  </si>
  <si>
    <t>Ty</t>
  </si>
  <si>
    <t>Tz</t>
  </si>
  <si>
    <t>RotX</t>
  </si>
  <si>
    <t>RotZ</t>
  </si>
  <si>
    <t>RotY</t>
  </si>
  <si>
    <t>Condition for Maximum Required Contribution</t>
  </si>
  <si>
    <t>ABS Sum</t>
  </si>
  <si>
    <t>Voltage</t>
  </si>
  <si>
    <t>Lateral thrusters elevation angle</t>
  </si>
  <si>
    <t>Toe-in Angle</t>
  </si>
  <si>
    <t>Tx only</t>
  </si>
  <si>
    <t>Ty only</t>
  </si>
  <si>
    <t>Tz only</t>
  </si>
  <si>
    <t>Rot Y</t>
  </si>
  <si>
    <t>Rot Z</t>
  </si>
  <si>
    <t>Rot X</t>
  </si>
  <si>
    <t>sum of all thrusters</t>
  </si>
  <si>
    <t>Pilot inuputs for each DOF separately (produce table above)</t>
  </si>
  <si>
    <t>`</t>
  </si>
  <si>
    <t>AMPS</t>
  </si>
  <si>
    <t>Amps</t>
  </si>
  <si>
    <t>total amps</t>
  </si>
  <si>
    <t>thrust components</t>
  </si>
  <si>
    <t>net force</t>
  </si>
  <si>
    <t>torque components</t>
  </si>
  <si>
    <t>Thruster</t>
  </si>
  <si>
    <t>Force Vector Scale Factor</t>
  </si>
  <si>
    <t>Scaled Thrust Vectors</t>
  </si>
  <si>
    <t>Thruster Location</t>
  </si>
  <si>
    <t>Plotting Force Vectors</t>
  </si>
  <si>
    <t>fx * S</t>
  </si>
  <si>
    <t>fy * S</t>
  </si>
  <si>
    <t>fz * S</t>
  </si>
  <si>
    <t>ROV Nodal Points</t>
  </si>
  <si>
    <t>Node #</t>
  </si>
  <si>
    <t>Element #</t>
  </si>
  <si>
    <t>Node 1</t>
  </si>
  <si>
    <t>Node 2</t>
  </si>
  <si>
    <t>Material</t>
  </si>
  <si>
    <t>Ballast</t>
  </si>
  <si>
    <t>Structural Tube Elements</t>
  </si>
  <si>
    <t>Tube Size</t>
  </si>
  <si>
    <t>(+X is Forward; +Z is up)</t>
  </si>
  <si>
    <t>LR</t>
  </si>
  <si>
    <t>RR</t>
  </si>
  <si>
    <t>RF</t>
  </si>
  <si>
    <t>LF</t>
  </si>
  <si>
    <t>Descr.</t>
  </si>
  <si>
    <t>Th #</t>
  </si>
  <si>
    <t>Thruster Positive Thrust Vector</t>
  </si>
  <si>
    <t>1/2</t>
  </si>
  <si>
    <t>3/4</t>
  </si>
  <si>
    <t>1</t>
  </si>
  <si>
    <t>1 1/2</t>
  </si>
  <si>
    <t>ID</t>
  </si>
  <si>
    <t>OD</t>
  </si>
  <si>
    <t>calc by Excel Matrix math</t>
  </si>
  <si>
    <t>Vec Length</t>
  </si>
  <si>
    <t>Req'd</t>
  </si>
  <si>
    <t>%</t>
  </si>
  <si>
    <t>Adj Thrust</t>
  </si>
  <si>
    <t>Forward direction:</t>
  </si>
  <si>
    <t>Flip 2 and 3 and 1 and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</si>
</sst>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00000000"/>
    <numFmt numFmtId="167" formatCode="0.0%"/>
  </numFmts>
  <fonts count="9" x14ac:knownFonts="1">
    <font>
      <sz val="11"/>
      <color theme="1"/>
      <name val="Calibri"/>
      <family val="2"/>
      <scheme val="minor"/>
    </font>
    <font>
      <b/>
      <sz val="11"/>
      <color theme="1"/>
      <name val="Calibri"/>
      <family val="2"/>
      <scheme val="minor"/>
    </font>
    <font>
      <b/>
      <sz val="14"/>
      <color theme="1"/>
      <name val="Calibri"/>
      <family val="2"/>
      <scheme val="minor"/>
    </font>
    <font>
      <b/>
      <vertAlign val="subscript"/>
      <sz val="11"/>
      <color theme="1"/>
      <name val="Calibri"/>
      <family val="2"/>
      <scheme val="minor"/>
    </font>
    <font>
      <sz val="9"/>
      <color indexed="81"/>
      <name val="Tahoma"/>
      <family val="2"/>
    </font>
    <font>
      <b/>
      <sz val="9"/>
      <color indexed="81"/>
      <name val="Tahoma"/>
      <family val="2"/>
    </font>
    <font>
      <b/>
      <sz val="9"/>
      <color indexed="12"/>
      <name val="Tahoma"/>
      <family val="2"/>
    </font>
    <font>
      <sz val="9"/>
      <color indexed="81"/>
      <name val="Tahoma"/>
      <charset val="1"/>
    </font>
    <font>
      <b/>
      <sz val="9"/>
      <color indexed="81"/>
      <name val="Tahoma"/>
      <charset val="1"/>
    </font>
  </fonts>
  <fills count="7">
    <fill>
      <patternFill patternType="none"/>
    </fill>
    <fill>
      <patternFill patternType="gray125"/>
    </fill>
    <fill>
      <patternFill patternType="solid">
        <fgColor theme="5" tint="0.59999389629810485"/>
        <bgColor indexed="64"/>
      </patternFill>
    </fill>
    <fill>
      <patternFill patternType="darkDown"/>
    </fill>
    <fill>
      <patternFill patternType="solid">
        <fgColor rgb="FFFFFFCC"/>
        <bgColor auto="1"/>
      </patternFill>
    </fill>
    <fill>
      <patternFill patternType="solid">
        <fgColor theme="2" tint="-0.24994659260841701"/>
        <bgColor indexed="64"/>
      </patternFill>
    </fill>
    <fill>
      <patternFill patternType="solid">
        <fgColor theme="5" tint="0.79998168889431442"/>
        <bgColor indexed="64"/>
      </patternFill>
    </fill>
  </fills>
  <borders count="48">
    <border>
      <left/>
      <right/>
      <top/>
      <bottom/>
      <diagonal/>
    </border>
    <border>
      <left style="thin">
        <color auto="1"/>
      </left>
      <right style="thin">
        <color auto="1"/>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top/>
      <bottom/>
      <diagonal/>
    </border>
    <border>
      <left style="thick">
        <color auto="1"/>
      </left>
      <right/>
      <top/>
      <bottom style="thick">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style="thick">
        <color auto="1"/>
      </right>
      <top style="thick">
        <color auto="1"/>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ck">
        <color auto="1"/>
      </left>
      <right style="thin">
        <color auto="1"/>
      </right>
      <top style="thick">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s>
  <cellStyleXfs count="1">
    <xf numFmtId="0" fontId="0" fillId="0" borderId="0"/>
  </cellStyleXfs>
  <cellXfs count="113">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164" fontId="0" fillId="0" borderId="10" xfId="0" applyNumberFormat="1" applyBorder="1"/>
    <xf numFmtId="164" fontId="0" fillId="0" borderId="11" xfId="0" applyNumberFormat="1" applyBorder="1"/>
    <xf numFmtId="164" fontId="0" fillId="0" borderId="12" xfId="0" applyNumberFormat="1" applyBorder="1"/>
    <xf numFmtId="164" fontId="0" fillId="0" borderId="5" xfId="0" applyNumberFormat="1" applyBorder="1"/>
    <xf numFmtId="164" fontId="0" fillId="0" borderId="1" xfId="0" applyNumberFormat="1" applyBorder="1"/>
    <xf numFmtId="164" fontId="0" fillId="0" borderId="6" xfId="0" applyNumberFormat="1" applyBorder="1"/>
    <xf numFmtId="164" fontId="0" fillId="0" borderId="0" xfId="0" applyNumberFormat="1"/>
    <xf numFmtId="0" fontId="1" fillId="0" borderId="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0" fillId="0" borderId="18" xfId="0" applyBorder="1"/>
    <xf numFmtId="0" fontId="0" fillId="0" borderId="3"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0" xfId="0" quotePrefix="1"/>
    <xf numFmtId="164" fontId="0" fillId="2" borderId="1" xfId="0" applyNumberFormat="1" applyFill="1" applyBorder="1"/>
    <xf numFmtId="0" fontId="0" fillId="2" borderId="0" xfId="0" applyFill="1"/>
    <xf numFmtId="0" fontId="0" fillId="3" borderId="0" xfId="0" applyFill="1"/>
    <xf numFmtId="164" fontId="0" fillId="0" borderId="4" xfId="0" applyNumberFormat="1" applyBorder="1"/>
    <xf numFmtId="164" fontId="0" fillId="0" borderId="19" xfId="0" applyNumberFormat="1" applyBorder="1"/>
    <xf numFmtId="164" fontId="0" fillId="0" borderId="21" xfId="0" applyNumberFormat="1" applyBorder="1"/>
    <xf numFmtId="0" fontId="0" fillId="4" borderId="2" xfId="0" applyFill="1" applyBorder="1"/>
    <xf numFmtId="0" fontId="0" fillId="4" borderId="13" xfId="0" applyFill="1" applyBorder="1"/>
    <xf numFmtId="0" fontId="0" fillId="4" borderId="14" xfId="0" applyFill="1" applyBorder="1"/>
    <xf numFmtId="0" fontId="1" fillId="0" borderId="0" xfId="0" applyFont="1" applyAlignment="1">
      <alignment horizontal="right"/>
    </xf>
    <xf numFmtId="0" fontId="0" fillId="5" borderId="0" xfId="0" applyFill="1"/>
    <xf numFmtId="2" fontId="0" fillId="0" borderId="0" xfId="0" applyNumberFormat="1"/>
    <xf numFmtId="164" fontId="0" fillId="0" borderId="0" xfId="0" applyNumberFormat="1" applyBorder="1"/>
    <xf numFmtId="0" fontId="0" fillId="0" borderId="0" xfId="0" applyBorder="1"/>
    <xf numFmtId="164" fontId="0" fillId="0" borderId="7" xfId="0" applyNumberFormat="1" applyBorder="1"/>
    <xf numFmtId="164" fontId="0" fillId="0" borderId="8" xfId="0" applyNumberFormat="1" applyBorder="1"/>
    <xf numFmtId="164" fontId="0" fillId="0" borderId="9" xfId="0" applyNumberFormat="1" applyBorder="1"/>
    <xf numFmtId="0" fontId="1" fillId="0" borderId="18" xfId="0" applyFont="1" applyBorder="1" applyAlignment="1">
      <alignment horizontal="center"/>
    </xf>
    <xf numFmtId="0" fontId="0" fillId="0" borderId="22" xfId="0" applyBorder="1"/>
    <xf numFmtId="10" fontId="0" fillId="0" borderId="0" xfId="0" quotePrefix="1" applyNumberFormat="1"/>
    <xf numFmtId="0" fontId="0" fillId="0" borderId="0" xfId="0" applyAlignment="1">
      <alignment horizontal="center" textRotation="90"/>
    </xf>
    <xf numFmtId="164" fontId="0" fillId="0" borderId="23" xfId="0" applyNumberFormat="1" applyBorder="1"/>
    <xf numFmtId="164" fontId="0" fillId="0" borderId="24" xfId="0" applyNumberFormat="1" applyBorder="1"/>
    <xf numFmtId="164" fontId="0" fillId="0" borderId="25" xfId="0" applyNumberFormat="1" applyBorder="1"/>
    <xf numFmtId="164" fontId="0" fillId="2" borderId="26" xfId="0" applyNumberFormat="1" applyFill="1" applyBorder="1"/>
    <xf numFmtId="164" fontId="0" fillId="2" borderId="27" xfId="0" applyNumberFormat="1" applyFill="1" applyBorder="1"/>
    <xf numFmtId="164" fontId="0" fillId="2" borderId="28" xfId="0" applyNumberFormat="1" applyFill="1" applyBorder="1"/>
    <xf numFmtId="164" fontId="0" fillId="2" borderId="29" xfId="0" applyNumberFormat="1" applyFill="1" applyBorder="1"/>
    <xf numFmtId="164" fontId="0" fillId="2" borderId="30" xfId="0" applyNumberFormat="1" applyFill="1" applyBorder="1"/>
    <xf numFmtId="164" fontId="0" fillId="2" borderId="31" xfId="0" applyNumberFormat="1" applyFill="1" applyBorder="1"/>
    <xf numFmtId="164" fontId="0" fillId="2" borderId="32" xfId="0" applyNumberFormat="1" applyFill="1" applyBorder="1"/>
    <xf numFmtId="164" fontId="0" fillId="2" borderId="33" xfId="0" applyNumberFormat="1" applyFill="1" applyBorder="1"/>
    <xf numFmtId="0" fontId="1" fillId="0" borderId="34" xfId="0" applyFont="1" applyBorder="1" applyAlignment="1">
      <alignment horizontal="center"/>
    </xf>
    <xf numFmtId="0" fontId="1" fillId="0" borderId="35" xfId="0" applyFont="1" applyBorder="1" applyAlignment="1">
      <alignment horizontal="center"/>
    </xf>
    <xf numFmtId="0" fontId="1" fillId="0" borderId="35" xfId="0" applyFont="1" applyFill="1" applyBorder="1" applyAlignment="1">
      <alignment horizontal="center"/>
    </xf>
    <xf numFmtId="0" fontId="1" fillId="0" borderId="36" xfId="0" applyFont="1" applyBorder="1" applyAlignment="1">
      <alignment horizontal="center"/>
    </xf>
    <xf numFmtId="164" fontId="0" fillId="0" borderId="37" xfId="0" applyNumberFormat="1" applyBorder="1"/>
    <xf numFmtId="164" fontId="0" fillId="0" borderId="38" xfId="0" applyNumberFormat="1" applyBorder="1"/>
    <xf numFmtId="164" fontId="0" fillId="0" borderId="39" xfId="0" applyNumberFormat="1" applyBorder="1"/>
    <xf numFmtId="164" fontId="0" fillId="0" borderId="15" xfId="0" applyNumberFormat="1" applyBorder="1"/>
    <xf numFmtId="164" fontId="0" fillId="0" borderId="16" xfId="0" applyNumberFormat="1" applyBorder="1"/>
    <xf numFmtId="164" fontId="0" fillId="0" borderId="17" xfId="0" applyNumberFormat="1" applyBorder="1"/>
    <xf numFmtId="164" fontId="0" fillId="0" borderId="0" xfId="0" applyNumberFormat="1" applyFill="1"/>
    <xf numFmtId="0" fontId="1" fillId="0" borderId="0" xfId="0" applyFont="1" applyAlignment="1">
      <alignment horizontal="center"/>
    </xf>
    <xf numFmtId="1" fontId="1" fillId="0" borderId="0" xfId="0" applyNumberFormat="1" applyFont="1"/>
    <xf numFmtId="1" fontId="0" fillId="0" borderId="0" xfId="0" applyNumberFormat="1"/>
    <xf numFmtId="0" fontId="1" fillId="0" borderId="0" xfId="0" applyFont="1" applyAlignment="1">
      <alignment horizontal="center"/>
    </xf>
    <xf numFmtId="0" fontId="0" fillId="0" borderId="29" xfId="0" applyBorder="1"/>
    <xf numFmtId="0" fontId="0" fillId="0" borderId="1" xfId="0" applyBorder="1"/>
    <xf numFmtId="0" fontId="0" fillId="0" borderId="31" xfId="0" applyBorder="1"/>
    <xf numFmtId="0" fontId="0" fillId="0" borderId="40" xfId="0" applyBorder="1"/>
    <xf numFmtId="0" fontId="0" fillId="0" borderId="16" xfId="0" applyBorder="1"/>
    <xf numFmtId="0" fontId="1" fillId="0" borderId="42" xfId="0" applyFont="1" applyBorder="1" applyAlignment="1">
      <alignment horizontal="center"/>
    </xf>
    <xf numFmtId="0" fontId="1" fillId="0" borderId="43" xfId="0" applyFont="1" applyBorder="1" applyAlignment="1">
      <alignment horizontal="center"/>
    </xf>
    <xf numFmtId="0" fontId="1" fillId="0" borderId="44" xfId="0" applyFont="1" applyBorder="1" applyAlignment="1">
      <alignment horizontal="center"/>
    </xf>
    <xf numFmtId="0" fontId="0" fillId="6" borderId="16" xfId="0" applyFill="1" applyBorder="1"/>
    <xf numFmtId="0" fontId="0" fillId="6" borderId="41" xfId="0" applyFill="1" applyBorder="1"/>
    <xf numFmtId="0" fontId="0" fillId="6" borderId="1" xfId="0" applyFill="1" applyBorder="1"/>
    <xf numFmtId="0" fontId="0" fillId="6" borderId="30" xfId="0" applyFill="1" applyBorder="1"/>
    <xf numFmtId="0" fontId="0" fillId="6" borderId="32" xfId="0" applyFill="1" applyBorder="1"/>
    <xf numFmtId="0" fontId="0" fillId="6" borderId="33" xfId="0" applyFill="1" applyBorder="1"/>
    <xf numFmtId="0" fontId="0" fillId="0" borderId="5" xfId="0" quotePrefix="1"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5" xfId="0" quotePrefix="1" applyBorder="1"/>
    <xf numFmtId="0" fontId="0" fillId="0" borderId="17" xfId="0" applyBorder="1"/>
    <xf numFmtId="0" fontId="1" fillId="0" borderId="45" xfId="0" applyFont="1" applyBorder="1"/>
    <xf numFmtId="0" fontId="1" fillId="0" borderId="46" xfId="0" applyFont="1" applyBorder="1"/>
    <xf numFmtId="0" fontId="1" fillId="0" borderId="47" xfId="0" applyFont="1" applyBorder="1"/>
    <xf numFmtId="165" fontId="0" fillId="0" borderId="0" xfId="0" applyNumberFormat="1"/>
    <xf numFmtId="166" fontId="0" fillId="0" borderId="0" xfId="0" applyNumberFormat="1"/>
    <xf numFmtId="0" fontId="0" fillId="0" borderId="29" xfId="0" applyBorder="1" applyAlignment="1">
      <alignment horizontal="center"/>
    </xf>
    <xf numFmtId="0" fontId="0" fillId="0" borderId="31" xfId="0" applyBorder="1" applyAlignment="1">
      <alignment horizontal="center"/>
    </xf>
    <xf numFmtId="0" fontId="0" fillId="0" borderId="40" xfId="0" applyBorder="1" applyAlignment="1">
      <alignment horizontal="center"/>
    </xf>
    <xf numFmtId="0" fontId="0" fillId="6" borderId="16" xfId="0" applyFill="1" applyBorder="1" applyAlignment="1">
      <alignment horizontal="center"/>
    </xf>
    <xf numFmtId="0" fontId="0" fillId="6" borderId="1" xfId="0" applyFill="1" applyBorder="1" applyAlignment="1">
      <alignment horizontal="center"/>
    </xf>
    <xf numFmtId="0" fontId="0" fillId="6" borderId="32" xfId="0" applyFill="1" applyBorder="1" applyAlignment="1">
      <alignment horizontal="center"/>
    </xf>
    <xf numFmtId="0" fontId="1" fillId="0" borderId="0" xfId="0" applyFont="1" applyAlignment="1">
      <alignment horizontal="center"/>
    </xf>
    <xf numFmtId="167" fontId="0" fillId="0" borderId="0" xfId="0" applyNumberFormat="1" applyFill="1" applyBorder="1"/>
    <xf numFmtId="164" fontId="0" fillId="1" borderId="0" xfId="0" applyNumberFormat="1" applyFill="1"/>
    <xf numFmtId="0" fontId="1" fillId="0" borderId="0" xfId="0" applyFont="1" applyAlignment="1">
      <alignment horizontal="center"/>
    </xf>
    <xf numFmtId="167" fontId="0" fillId="0" borderId="0" xfId="0" applyNumberFormat="1"/>
    <xf numFmtId="2" fontId="0" fillId="0" borderId="0" xfId="0" applyNumberFormat="1" applyAlignment="1"/>
    <xf numFmtId="2" fontId="1" fillId="0" borderId="0" xfId="0" applyNumberFormat="1" applyFont="1"/>
    <xf numFmtId="0" fontId="1" fillId="0" borderId="0" xfId="0" applyFont="1" applyBorder="1"/>
    <xf numFmtId="0" fontId="0" fillId="0" borderId="22" xfId="0" applyBorder="1" applyAlignment="1">
      <alignment horizontal="center"/>
    </xf>
    <xf numFmtId="0" fontId="2" fillId="0" borderId="0" xfId="0" applyFont="1" applyAlignment="1">
      <alignment horizontal="center"/>
    </xf>
    <xf numFmtId="0" fontId="1" fillId="0" borderId="0" xfId="0" applyFont="1" applyAlignment="1">
      <alignment horizontal="center" vertical="center" textRotation="90"/>
    </xf>
    <xf numFmtId="0" fontId="1"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a:t>
            </a:r>
            <a:r>
              <a:rPr lang="en-US" baseline="0"/>
              <a:t> View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938597485679734E-2"/>
          <c:y val="0.16181383877002004"/>
          <c:w val="0.81249169552661638"/>
          <c:h val="0.81732188268146733"/>
        </c:manualLayout>
      </c:layout>
      <c:scatterChart>
        <c:scatterStyle val="lineMarker"/>
        <c:varyColors val="0"/>
        <c:ser>
          <c:idx val="0"/>
          <c:order val="0"/>
          <c:spPr>
            <a:ln w="19050" cap="rnd">
              <a:noFill/>
              <a:round/>
            </a:ln>
            <a:effectLst/>
          </c:spPr>
          <c:marker>
            <c:symbol val="circle"/>
            <c:size val="9"/>
            <c:spPr>
              <a:solidFill>
                <a:srgbClr val="FF0000"/>
              </a:solidFill>
              <a:ln w="9525">
                <a:solidFill>
                  <a:srgbClr val="FF0000"/>
                </a:solidFill>
              </a:ln>
              <a:effectLst/>
            </c:spPr>
          </c:marker>
          <c:dLbls>
            <c:dLbl>
              <c:idx val="0"/>
              <c:tx>
                <c:rich>
                  <a:bodyPr/>
                  <a:lstStyle/>
                  <a:p>
                    <a:fld id="{0675DD3F-157A-49A1-A4BB-B3DA6A973B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7EE-4AB4-B4BF-2FEF2A8C6E20}"/>
                </c:ext>
              </c:extLst>
            </c:dLbl>
            <c:dLbl>
              <c:idx val="1"/>
              <c:tx>
                <c:rich>
                  <a:bodyPr/>
                  <a:lstStyle/>
                  <a:p>
                    <a:fld id="{9EA73F50-955F-4F13-92B0-E946032AD1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7EE-4AB4-B4BF-2FEF2A8C6E20}"/>
                </c:ext>
              </c:extLst>
            </c:dLbl>
            <c:dLbl>
              <c:idx val="2"/>
              <c:tx>
                <c:rich>
                  <a:bodyPr/>
                  <a:lstStyle/>
                  <a:p>
                    <a:fld id="{ACB26C07-3F37-411C-9C76-FE55265E2F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7EE-4AB4-B4BF-2FEF2A8C6E20}"/>
                </c:ext>
              </c:extLst>
            </c:dLbl>
            <c:dLbl>
              <c:idx val="3"/>
              <c:tx>
                <c:rich>
                  <a:bodyPr/>
                  <a:lstStyle/>
                  <a:p>
                    <a:fld id="{B9991E03-95EA-4254-9A1B-E8C3A2E734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7EE-4AB4-B4BF-2FEF2A8C6E20}"/>
                </c:ext>
              </c:extLst>
            </c:dLbl>
            <c:dLbl>
              <c:idx val="4"/>
              <c:tx>
                <c:rich>
                  <a:bodyPr/>
                  <a:lstStyle/>
                  <a:p>
                    <a:fld id="{E0868CB8-F8F9-4526-909D-3E6787C344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7EE-4AB4-B4BF-2FEF2A8C6E20}"/>
                </c:ext>
              </c:extLst>
            </c:dLbl>
            <c:dLbl>
              <c:idx val="5"/>
              <c:tx>
                <c:rich>
                  <a:bodyPr/>
                  <a:lstStyle/>
                  <a:p>
                    <a:fld id="{6CB60EF2-2A3E-48A7-A88D-E564894B48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7EE-4AB4-B4BF-2FEF2A8C6E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'Thruster Calcs'!$C$14:$H$14</c:f>
              <c:numCache>
                <c:formatCode>0.000</c:formatCode>
                <c:ptCount val="6"/>
                <c:pt idx="0">
                  <c:v>9</c:v>
                </c:pt>
                <c:pt idx="1">
                  <c:v>9</c:v>
                </c:pt>
                <c:pt idx="2">
                  <c:v>-9</c:v>
                </c:pt>
                <c:pt idx="3">
                  <c:v>-9</c:v>
                </c:pt>
                <c:pt idx="4">
                  <c:v>0</c:v>
                </c:pt>
                <c:pt idx="5">
                  <c:v>0</c:v>
                </c:pt>
              </c:numCache>
            </c:numRef>
          </c:xVal>
          <c:yVal>
            <c:numRef>
              <c:f>'Thruster Calcs'!$C$15:$H$15</c:f>
              <c:numCache>
                <c:formatCode>0.000</c:formatCode>
                <c:ptCount val="6"/>
                <c:pt idx="0">
                  <c:v>-19.5</c:v>
                </c:pt>
                <c:pt idx="1">
                  <c:v>19.5</c:v>
                </c:pt>
                <c:pt idx="2">
                  <c:v>19.5</c:v>
                </c:pt>
                <c:pt idx="3">
                  <c:v>-19.5</c:v>
                </c:pt>
                <c:pt idx="4">
                  <c:v>19.5</c:v>
                </c:pt>
                <c:pt idx="5">
                  <c:v>-19.5</c:v>
                </c:pt>
              </c:numCache>
            </c:numRef>
          </c:yVal>
          <c:smooth val="0"/>
          <c:extLst>
            <c:ext xmlns:c15="http://schemas.microsoft.com/office/drawing/2012/chart" uri="{02D57815-91ED-43cb-92C2-25804820EDAC}">
              <c15:datalabelsRange>
                <c15:f>'Thruster Calcs'!$C$9:$H$9</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00-97EE-4AB4-B4BF-2FEF2A8C6E20}"/>
            </c:ext>
          </c:extLst>
        </c:ser>
        <c:ser>
          <c:idx val="1"/>
          <c:order val="1"/>
          <c:tx>
            <c:v>Force Vectors</c:v>
          </c:tx>
          <c:spPr>
            <a:ln w="25400" cap="rnd">
              <a:solidFill>
                <a:schemeClr val="accent1"/>
              </a:solidFill>
              <a:round/>
            </a:ln>
            <a:effectLst/>
          </c:spPr>
          <c:marker>
            <c:symbol val="none"/>
          </c:marker>
          <c:xVal>
            <c:numRef>
              <c:f>'Thruster Calcs'!$AC$43:$AC$59</c:f>
              <c:numCache>
                <c:formatCode>0.000</c:formatCode>
                <c:ptCount val="17"/>
                <c:pt idx="0">
                  <c:v>9</c:v>
                </c:pt>
                <c:pt idx="1">
                  <c:v>11.249756633902889</c:v>
                </c:pt>
                <c:pt idx="3">
                  <c:v>9</c:v>
                </c:pt>
                <c:pt idx="4">
                  <c:v>6.750243366097112</c:v>
                </c:pt>
                <c:pt idx="6">
                  <c:v>-9</c:v>
                </c:pt>
                <c:pt idx="7">
                  <c:v>-6.7502433660971111</c:v>
                </c:pt>
                <c:pt idx="9">
                  <c:v>-9</c:v>
                </c:pt>
                <c:pt idx="10">
                  <c:v>-11.249756633902887</c:v>
                </c:pt>
                <c:pt idx="12">
                  <c:v>0</c:v>
                </c:pt>
                <c:pt idx="13">
                  <c:v>0</c:v>
                </c:pt>
                <c:pt idx="15">
                  <c:v>0</c:v>
                </c:pt>
                <c:pt idx="16">
                  <c:v>0</c:v>
                </c:pt>
              </c:numCache>
            </c:numRef>
          </c:xVal>
          <c:yVal>
            <c:numRef>
              <c:f>'Thruster Calcs'!$AD$43:$AD$59</c:f>
              <c:numCache>
                <c:formatCode>0.000</c:formatCode>
                <c:ptCount val="17"/>
                <c:pt idx="0">
                  <c:v>-19.5</c:v>
                </c:pt>
                <c:pt idx="1">
                  <c:v>-13.318844449083578</c:v>
                </c:pt>
                <c:pt idx="3">
                  <c:v>19.5</c:v>
                </c:pt>
                <c:pt idx="4">
                  <c:v>25.681155550916426</c:v>
                </c:pt>
                <c:pt idx="6">
                  <c:v>19.5</c:v>
                </c:pt>
                <c:pt idx="7">
                  <c:v>25.681155550916422</c:v>
                </c:pt>
                <c:pt idx="9">
                  <c:v>-19.5</c:v>
                </c:pt>
                <c:pt idx="10">
                  <c:v>-13.318844449083576</c:v>
                </c:pt>
                <c:pt idx="12">
                  <c:v>19.5</c:v>
                </c:pt>
                <c:pt idx="13">
                  <c:v>19.5</c:v>
                </c:pt>
                <c:pt idx="15">
                  <c:v>-19.5</c:v>
                </c:pt>
                <c:pt idx="16">
                  <c:v>-19.5</c:v>
                </c:pt>
              </c:numCache>
            </c:numRef>
          </c:yVal>
          <c:smooth val="0"/>
          <c:extLst>
            <c:ext xmlns:c16="http://schemas.microsoft.com/office/drawing/2014/chart" uri="{C3380CC4-5D6E-409C-BE32-E72D297353CC}">
              <c16:uniqueId val="{00000000-C25B-499F-9A27-2074FAF7C081}"/>
            </c:ext>
          </c:extLst>
        </c:ser>
        <c:dLbls>
          <c:showLegendKey val="0"/>
          <c:showVal val="0"/>
          <c:showCatName val="0"/>
          <c:showSerName val="0"/>
          <c:showPercent val="0"/>
          <c:showBubbleSize val="0"/>
        </c:dLbls>
        <c:axId val="507503056"/>
        <c:axId val="507505352"/>
      </c:scatterChart>
      <c:valAx>
        <c:axId val="507503056"/>
        <c:scaling>
          <c:orientation val="minMax"/>
          <c:max val="27.686892198229213"/>
          <c:min val="-27.686892198229213"/>
        </c:scaling>
        <c:delete val="0"/>
        <c:axPos val="b"/>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505352"/>
        <c:crosses val="autoZero"/>
        <c:crossBetween val="midCat"/>
      </c:valAx>
      <c:valAx>
        <c:axId val="507505352"/>
        <c:scaling>
          <c:orientation val="minMax"/>
          <c:max val="26.647234762562714"/>
          <c:min val="-21.697487369645845"/>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503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539752</xdr:colOff>
      <xdr:row>29</xdr:row>
      <xdr:rowOff>119064</xdr:rowOff>
    </xdr:from>
    <xdr:to>
      <xdr:col>12</xdr:col>
      <xdr:colOff>601259</xdr:colOff>
      <xdr:row>56</xdr:row>
      <xdr:rowOff>148147</xdr:rowOff>
    </xdr:to>
    <xdr:graphicFrame macro="">
      <xdr:nvGraphicFramePr>
        <xdr:cNvPr id="2" name="Chart 1">
          <a:extLst>
            <a:ext uri="{FF2B5EF4-FFF2-40B4-BE49-F238E27FC236}">
              <a16:creationId xmlns:a16="http://schemas.microsoft.com/office/drawing/2014/main" id="{E1B49997-9D6E-40E1-8F94-FC215D951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63"/>
  <sheetViews>
    <sheetView tabSelected="1" topLeftCell="E14" zoomScale="60" zoomScaleNormal="100" workbookViewId="0">
      <selection activeCell="O33" sqref="O33"/>
    </sheetView>
  </sheetViews>
  <sheetFormatPr defaultRowHeight="14.25" x14ac:dyDescent="0.45"/>
  <cols>
    <col min="2" max="2" width="10.265625" customWidth="1"/>
    <col min="3" max="3" width="9.06640625" customWidth="1"/>
    <col min="10" max="10" width="8.3984375" customWidth="1"/>
    <col min="12" max="14" width="10.19921875" customWidth="1"/>
    <col min="15" max="15" width="9.59765625" customWidth="1"/>
    <col min="17" max="17" width="10.3984375" customWidth="1"/>
    <col min="19" max="19" width="9.59765625" customWidth="1"/>
    <col min="20" max="20" width="7.53125" customWidth="1"/>
    <col min="21" max="21" width="6.53125" customWidth="1"/>
    <col min="22" max="22" width="9.796875" customWidth="1"/>
    <col min="23" max="23" width="16.265625" bestFit="1" customWidth="1"/>
    <col min="36" max="36" width="9.6640625" customWidth="1"/>
  </cols>
  <sheetData>
    <row r="1" spans="2:20" ht="14.65" thickBot="1" x14ac:dyDescent="0.5"/>
    <row r="2" spans="2:20" ht="14.65" thickBot="1" x14ac:dyDescent="0.5">
      <c r="B2" s="3" t="s">
        <v>55</v>
      </c>
      <c r="C2" s="39">
        <v>0</v>
      </c>
      <c r="D2" s="39">
        <v>0</v>
      </c>
      <c r="E2" s="39">
        <v>0</v>
      </c>
    </row>
    <row r="3" spans="2:20" ht="14.65" thickBot="1" x14ac:dyDescent="0.5"/>
    <row r="4" spans="2:20" ht="14.65" thickBot="1" x14ac:dyDescent="0.5">
      <c r="B4" s="3"/>
      <c r="C4" s="108" t="s">
        <v>123</v>
      </c>
      <c r="D4" s="34"/>
      <c r="E4" s="109" t="s">
        <v>57</v>
      </c>
    </row>
    <row r="5" spans="2:20" ht="14.65" thickBot="1" x14ac:dyDescent="0.5">
      <c r="B5" s="3" t="s">
        <v>70</v>
      </c>
      <c r="C5" s="34"/>
      <c r="D5" s="34"/>
      <c r="E5" s="39">
        <v>20</v>
      </c>
    </row>
    <row r="6" spans="2:20" ht="14.65" thickBot="1" x14ac:dyDescent="0.5">
      <c r="B6" s="3" t="s">
        <v>71</v>
      </c>
      <c r="C6" s="34"/>
      <c r="D6" s="34"/>
      <c r="E6" s="39">
        <v>20</v>
      </c>
    </row>
    <row r="7" spans="2:20" ht="14.65" thickBot="1" x14ac:dyDescent="0.5">
      <c r="C7" t="s">
        <v>41</v>
      </c>
      <c r="Q7" t="s">
        <v>40</v>
      </c>
    </row>
    <row r="8" spans="2:20" ht="18.75" thickTop="1" thickBot="1" x14ac:dyDescent="0.6">
      <c r="C8" s="110" t="s">
        <v>22</v>
      </c>
      <c r="D8" s="110"/>
      <c r="E8" s="110"/>
      <c r="F8" s="110"/>
      <c r="G8" s="110"/>
      <c r="H8" s="110"/>
      <c r="K8" s="4">
        <v>9</v>
      </c>
      <c r="L8" s="5">
        <v>9</v>
      </c>
      <c r="M8" s="5">
        <v>-9</v>
      </c>
      <c r="N8" s="5">
        <v>-9</v>
      </c>
      <c r="O8" s="5">
        <v>0</v>
      </c>
      <c r="P8" s="6">
        <v>0</v>
      </c>
      <c r="Q8" s="1" t="s">
        <v>12</v>
      </c>
      <c r="R8" s="1" t="s">
        <v>13</v>
      </c>
      <c r="S8" s="1" t="s">
        <v>14</v>
      </c>
    </row>
    <row r="9" spans="2:20" ht="15" thickTop="1" thickBot="1" x14ac:dyDescent="0.5">
      <c r="C9" s="11">
        <v>1</v>
      </c>
      <c r="D9" s="18">
        <v>2</v>
      </c>
      <c r="E9" s="18">
        <v>3</v>
      </c>
      <c r="F9" s="18">
        <v>4</v>
      </c>
      <c r="G9" s="18">
        <v>5</v>
      </c>
      <c r="H9" s="19">
        <v>6</v>
      </c>
      <c r="K9" s="7">
        <v>-19.5</v>
      </c>
      <c r="L9" s="8">
        <v>19.5</v>
      </c>
      <c r="M9" s="8">
        <v>19.5</v>
      </c>
      <c r="N9" s="8">
        <v>-19.5</v>
      </c>
      <c r="O9" s="8">
        <v>19.5</v>
      </c>
      <c r="P9" s="9">
        <v>-19.5</v>
      </c>
      <c r="Q9" s="101"/>
      <c r="R9" s="101"/>
      <c r="S9" s="101"/>
    </row>
    <row r="10" spans="2:20" ht="15" thickTop="1" thickBot="1" x14ac:dyDescent="0.5">
      <c r="B10" s="101" t="s">
        <v>24</v>
      </c>
      <c r="C10" s="11">
        <v>1</v>
      </c>
      <c r="D10" s="18">
        <v>1</v>
      </c>
      <c r="E10" s="18">
        <v>1</v>
      </c>
      <c r="F10" s="18">
        <v>1</v>
      </c>
      <c r="G10" s="18">
        <v>1</v>
      </c>
      <c r="H10" s="19">
        <v>1</v>
      </c>
      <c r="Q10" s="2" t="s">
        <v>15</v>
      </c>
      <c r="R10" s="2" t="s">
        <v>16</v>
      </c>
      <c r="S10" s="2" t="s">
        <v>17</v>
      </c>
    </row>
    <row r="11" spans="2:20" ht="14.65" thickTop="1" x14ac:dyDescent="0.45">
      <c r="B11" s="53" t="s">
        <v>42</v>
      </c>
      <c r="C11" s="4">
        <v>9</v>
      </c>
      <c r="D11" s="5">
        <v>9</v>
      </c>
      <c r="E11" s="5">
        <v>-9</v>
      </c>
      <c r="F11" s="5">
        <v>-9</v>
      </c>
      <c r="G11" s="5">
        <v>0</v>
      </c>
      <c r="H11" s="6">
        <v>0</v>
      </c>
      <c r="Q11" s="2" t="s">
        <v>3</v>
      </c>
      <c r="R11" s="2" t="s">
        <v>4</v>
      </c>
      <c r="S11" s="2" t="s">
        <v>5</v>
      </c>
    </row>
    <row r="12" spans="2:20" x14ac:dyDescent="0.45">
      <c r="B12" s="54" t="s">
        <v>43</v>
      </c>
      <c r="C12" s="7">
        <v>-19.5</v>
      </c>
      <c r="D12" s="8">
        <v>19.5</v>
      </c>
      <c r="E12" s="8">
        <v>19.5</v>
      </c>
      <c r="F12" s="8">
        <v>-19.5</v>
      </c>
      <c r="G12" s="8">
        <v>19.5</v>
      </c>
      <c r="H12" s="9">
        <v>-19.5</v>
      </c>
    </row>
    <row r="13" spans="2:20" ht="14.65" thickBot="1" x14ac:dyDescent="0.5">
      <c r="B13" s="56" t="s">
        <v>37</v>
      </c>
      <c r="C13" s="57">
        <v>0</v>
      </c>
      <c r="D13" s="58">
        <v>0</v>
      </c>
      <c r="E13" s="58">
        <v>0</v>
      </c>
      <c r="F13" s="58">
        <v>0</v>
      </c>
      <c r="G13" s="58">
        <v>0</v>
      </c>
      <c r="H13" s="59">
        <v>0</v>
      </c>
      <c r="Q13" t="s">
        <v>18</v>
      </c>
      <c r="R13" t="s">
        <v>19</v>
      </c>
      <c r="S13" t="s">
        <v>20</v>
      </c>
      <c r="T13" s="3" t="s">
        <v>36</v>
      </c>
    </row>
    <row r="14" spans="2:20" ht="14.65" thickTop="1" x14ac:dyDescent="0.45">
      <c r="B14" s="55" t="s">
        <v>56</v>
      </c>
      <c r="C14" s="4">
        <f t="shared" ref="C14:H14" si="0">C11-$C$2</f>
        <v>9</v>
      </c>
      <c r="D14" s="5">
        <f t="shared" si="0"/>
        <v>9</v>
      </c>
      <c r="E14" s="5">
        <f t="shared" si="0"/>
        <v>-9</v>
      </c>
      <c r="F14" s="5">
        <f t="shared" si="0"/>
        <v>-9</v>
      </c>
      <c r="G14" s="5">
        <f t="shared" si="0"/>
        <v>0</v>
      </c>
      <c r="H14" s="6">
        <f t="shared" si="0"/>
        <v>0</v>
      </c>
    </row>
    <row r="15" spans="2:20" x14ac:dyDescent="0.45">
      <c r="B15" s="55" t="s">
        <v>57</v>
      </c>
      <c r="C15" s="7">
        <f t="shared" ref="C15:H15" si="1">C12-$D$2</f>
        <v>-19.5</v>
      </c>
      <c r="D15" s="8">
        <f t="shared" si="1"/>
        <v>19.5</v>
      </c>
      <c r="E15" s="8">
        <f t="shared" si="1"/>
        <v>19.5</v>
      </c>
      <c r="F15" s="8">
        <f t="shared" si="1"/>
        <v>-19.5</v>
      </c>
      <c r="G15" s="8">
        <f t="shared" si="1"/>
        <v>19.5</v>
      </c>
      <c r="H15" s="9">
        <f t="shared" si="1"/>
        <v>-19.5</v>
      </c>
    </row>
    <row r="16" spans="2:20" x14ac:dyDescent="0.45">
      <c r="B16" s="55" t="s">
        <v>58</v>
      </c>
      <c r="C16" s="7">
        <f t="shared" ref="C16:H16" si="2">C13-$E$2</f>
        <v>0</v>
      </c>
      <c r="D16" s="8">
        <f t="shared" si="2"/>
        <v>0</v>
      </c>
      <c r="E16" s="8">
        <f t="shared" si="2"/>
        <v>0</v>
      </c>
      <c r="F16" s="8">
        <f t="shared" si="2"/>
        <v>0</v>
      </c>
      <c r="G16" s="8">
        <f t="shared" si="2"/>
        <v>0</v>
      </c>
      <c r="H16" s="9">
        <f t="shared" si="2"/>
        <v>0</v>
      </c>
    </row>
    <row r="17" spans="2:34" x14ac:dyDescent="0.45">
      <c r="B17" s="54" t="s">
        <v>0</v>
      </c>
      <c r="C17" s="60">
        <f>IF(FwdDir="X",COS(RADIANS(ToeInAngle)),COS(RADIANS(90-ToeInAngle)))</f>
        <v>0.34202014332566882</v>
      </c>
      <c r="D17" s="61">
        <f>IF(FwdDir="X",COS(RADIANS(ToeInAngle)),COS(RADIANS(90+ToeInAngle)))</f>
        <v>-0.34202014332566871</v>
      </c>
      <c r="E17" s="61">
        <f>IF(FwdDir="X",COS(RADIANS(ToeInAngle)),COS(RADIANS(90-ToeInAngle)))</f>
        <v>0.34202014332566882</v>
      </c>
      <c r="F17" s="61">
        <f>IF(FwdDir="X",COS(RADIANS(ToeInAngle)),COS(RADIANS(90+ToeInAngle)))</f>
        <v>-0.34202014332566871</v>
      </c>
      <c r="G17" s="61">
        <v>0</v>
      </c>
      <c r="H17" s="62">
        <v>0</v>
      </c>
      <c r="K17" s="2"/>
      <c r="AH17" s="3" t="s">
        <v>29</v>
      </c>
    </row>
    <row r="18" spans="2:34" x14ac:dyDescent="0.45">
      <c r="B18" s="54" t="s">
        <v>1</v>
      </c>
      <c r="C18" s="7">
        <f>IF(FwdDir="X",SIN(RADIANS(ToeInAngle)),SIN(RADIANS(90-ToeInAngle)))</f>
        <v>0.93969262078590832</v>
      </c>
      <c r="D18" s="8">
        <f>IF(FwdDir="X",SIN(RADIANS(-ToeInAngle)),SIN(RADIANS(90+ToeInAngle)))</f>
        <v>0.93969262078590843</v>
      </c>
      <c r="E18" s="8">
        <f>IF(FwdDir="X",SIN(RADIANS(ToeInAngle)),SIN(RADIANS(90-ToeInAngle)))</f>
        <v>0.93969262078590832</v>
      </c>
      <c r="F18" s="8">
        <f>IF(FwdDir="X",SIN(RADIANS(-ToeInAngle)),SIN(RADIANS(90+ToeInAngle)))</f>
        <v>0.93969262078590843</v>
      </c>
      <c r="G18" s="8">
        <v>0</v>
      </c>
      <c r="H18" s="9">
        <v>0</v>
      </c>
      <c r="R18" s="101" t="s">
        <v>120</v>
      </c>
      <c r="AH18" s="23">
        <v>-3.8971205265322828</v>
      </c>
    </row>
    <row r="19" spans="2:34" ht="14.65" thickBot="1" x14ac:dyDescent="0.5">
      <c r="B19" s="56" t="s">
        <v>2</v>
      </c>
      <c r="C19" s="35">
        <f>TAN(RADIANS(LateralThrusterElevationAngle))</f>
        <v>0.36397023426620234</v>
      </c>
      <c r="D19" s="36">
        <f>-1*TAN(RADIANS(LateralThrusterElevationAngle))</f>
        <v>-0.36397023426620234</v>
      </c>
      <c r="E19" s="36">
        <f>TAN(RADIANS(LateralThrusterElevationAngle))</f>
        <v>0.36397023426620234</v>
      </c>
      <c r="F19" s="36">
        <f>-1*TAN(RADIANS(LateralThrusterElevationAngle))</f>
        <v>-0.36397023426620234</v>
      </c>
      <c r="G19" s="36">
        <v>1</v>
      </c>
      <c r="H19" s="37">
        <v>1</v>
      </c>
      <c r="J19" t="s">
        <v>38</v>
      </c>
      <c r="O19" t="s">
        <v>28</v>
      </c>
      <c r="R19" s="101" t="s">
        <v>24</v>
      </c>
      <c r="AA19" s="112" t="s">
        <v>84</v>
      </c>
      <c r="AB19" s="112"/>
      <c r="AC19" s="112"/>
      <c r="AD19" s="112" t="s">
        <v>86</v>
      </c>
      <c r="AE19" s="112"/>
      <c r="AF19" s="112"/>
      <c r="AH19" s="23">
        <v>-0.70937885643767939</v>
      </c>
    </row>
    <row r="20" spans="2:34" ht="16.5" thickTop="1" thickBot="1" x14ac:dyDescent="0.6">
      <c r="B20" s="38" t="s">
        <v>119</v>
      </c>
      <c r="C20" s="42">
        <f>SQRT(C17^2+C18^2+C19^2)</f>
        <v>1.0641777724759121</v>
      </c>
      <c r="D20" s="43">
        <f t="shared" ref="D20:H20" si="3">SQRT(D17^2+D18^2+D19^2)</f>
        <v>1.0641777724759121</v>
      </c>
      <c r="E20" s="43">
        <f t="shared" si="3"/>
        <v>1.0641777724759121</v>
      </c>
      <c r="F20" s="43">
        <f t="shared" si="3"/>
        <v>1.0641777724759121</v>
      </c>
      <c r="G20" s="43">
        <f t="shared" si="3"/>
        <v>1</v>
      </c>
      <c r="H20" s="44">
        <f t="shared" si="3"/>
        <v>1</v>
      </c>
      <c r="I20" t="s">
        <v>54</v>
      </c>
      <c r="J20" s="1" t="s">
        <v>21</v>
      </c>
      <c r="M20" s="1" t="s">
        <v>25</v>
      </c>
      <c r="N20" s="1"/>
      <c r="O20" s="1" t="s">
        <v>26</v>
      </c>
      <c r="P20" s="1" t="s">
        <v>23</v>
      </c>
      <c r="Q20" s="1" t="s">
        <v>24</v>
      </c>
      <c r="R20" s="101" t="s">
        <v>121</v>
      </c>
      <c r="S20" s="1" t="s">
        <v>27</v>
      </c>
      <c r="U20" s="1" t="s">
        <v>60</v>
      </c>
      <c r="V20" s="104" t="s">
        <v>122</v>
      </c>
      <c r="W20" s="1" t="s">
        <v>59</v>
      </c>
      <c r="X20" s="1" t="s">
        <v>69</v>
      </c>
      <c r="Y20" s="1" t="s">
        <v>82</v>
      </c>
      <c r="Z20" s="1"/>
      <c r="AA20" s="1" t="s">
        <v>6</v>
      </c>
      <c r="AB20" s="1" t="s">
        <v>7</v>
      </c>
      <c r="AC20" s="1" t="s">
        <v>8</v>
      </c>
      <c r="AD20" s="1" t="s">
        <v>9</v>
      </c>
      <c r="AE20" s="1" t="s">
        <v>10</v>
      </c>
      <c r="AF20" s="1" t="s">
        <v>11</v>
      </c>
      <c r="AG20" s="1"/>
      <c r="AH20" s="23">
        <v>3.2902509255450352</v>
      </c>
    </row>
    <row r="21" spans="2:34" ht="16.149999999999999" thickTop="1" x14ac:dyDescent="0.55000000000000004">
      <c r="B21" s="12" t="s">
        <v>6</v>
      </c>
      <c r="C21" s="45">
        <f>C17/C$20</f>
        <v>0.32139380484326979</v>
      </c>
      <c r="D21" s="46">
        <f t="shared" ref="C21:H23" si="4">D17/D$20</f>
        <v>-0.32139380484326968</v>
      </c>
      <c r="E21" s="46">
        <f t="shared" si="4"/>
        <v>0.32139380484326979</v>
      </c>
      <c r="F21" s="46">
        <f t="shared" si="4"/>
        <v>-0.32139380484326968</v>
      </c>
      <c r="G21" s="46">
        <f t="shared" si="4"/>
        <v>0</v>
      </c>
      <c r="H21" s="47">
        <f t="shared" si="4"/>
        <v>0</v>
      </c>
      <c r="I21" s="10">
        <f>SUM(C21:H21)</f>
        <v>2.2204460492503131E-16</v>
      </c>
      <c r="J21" s="32">
        <f>SUMIF($C21:$H21,"&gt;0")+ABS(SUMIF($C21:$H21,"&lt;0"))</f>
        <v>1.2855752193730789</v>
      </c>
      <c r="M21" s="27">
        <v>0</v>
      </c>
      <c r="N21" s="15" t="s">
        <v>30</v>
      </c>
      <c r="O21" s="24">
        <f>M21/100*J21</f>
        <v>0</v>
      </c>
      <c r="P21" s="1">
        <v>1</v>
      </c>
      <c r="Q21" s="63">
        <f t="array" ref="Q21:Q26">CalcThrust(O21:O26)</f>
        <v>0.35</v>
      </c>
      <c r="R21" s="102">
        <f>ABS(Q21)/C10</f>
        <v>0.35</v>
      </c>
      <c r="S21" s="103">
        <f t="array" ref="S21:S26">CalcRHS(Q21:Q26)</f>
        <v>8.4852372524146791E-17</v>
      </c>
      <c r="U21" s="10">
        <f>IF(MAX(R21:R26)&gt;1,MAX(R21:R26),1)</f>
        <v>1</v>
      </c>
      <c r="V21" s="10">
        <f>W21</f>
        <v>0.35</v>
      </c>
      <c r="W21" s="40">
        <f>Q21*$U$23</f>
        <v>0.35</v>
      </c>
      <c r="X21" s="32">
        <f t="shared" ref="X21:X26" si="5">W21*12</f>
        <v>4.1999999999999993</v>
      </c>
      <c r="Y21" s="32">
        <f>3*W21</f>
        <v>1.0499999999999998</v>
      </c>
      <c r="Z21" s="32"/>
      <c r="AA21" s="32">
        <f>$V21*C21</f>
        <v>0.11248783169514442</v>
      </c>
      <c r="AB21" s="32">
        <f>$V21*C22</f>
        <v>0.30905777754582114</v>
      </c>
      <c r="AC21" s="32">
        <f>$V21*C23</f>
        <v>0.11970705016398406</v>
      </c>
      <c r="AD21" s="32">
        <f>$V21*C24</f>
        <v>-2.3342874781976892</v>
      </c>
      <c r="AE21" s="32">
        <f>$V21*C25</f>
        <v>-1.0773634514758565</v>
      </c>
      <c r="AF21" s="32">
        <f>$V21*C26</f>
        <v>4.975032715967707</v>
      </c>
      <c r="AG21" s="32"/>
      <c r="AH21" s="23">
        <v>-1.342448825773161</v>
      </c>
    </row>
    <row r="22" spans="2:34" ht="15.75" x14ac:dyDescent="0.55000000000000004">
      <c r="B22" s="12" t="s">
        <v>7</v>
      </c>
      <c r="C22" s="48">
        <f t="shared" si="4"/>
        <v>0.88302222155948906</v>
      </c>
      <c r="D22" s="21">
        <f t="shared" si="4"/>
        <v>0.88302222155948917</v>
      </c>
      <c r="E22" s="21">
        <f t="shared" si="4"/>
        <v>0.88302222155948906</v>
      </c>
      <c r="F22" s="21">
        <f t="shared" si="4"/>
        <v>0.88302222155948917</v>
      </c>
      <c r="G22" s="21">
        <f t="shared" si="4"/>
        <v>0</v>
      </c>
      <c r="H22" s="49">
        <f t="shared" si="4"/>
        <v>0</v>
      </c>
      <c r="I22" s="10">
        <f t="shared" ref="I22:I26" si="6">SUM(C22:H22)</f>
        <v>3.5320888862379567</v>
      </c>
      <c r="J22" s="32">
        <f t="shared" ref="J22:J26" si="7">SUMIF($C22:$H22,"&gt;0")+ABS(SUMIF($C22:$H22,"&lt;0"))</f>
        <v>3.5320888862379567</v>
      </c>
      <c r="M22" s="28">
        <v>35</v>
      </c>
      <c r="N22" s="16" t="s">
        <v>31</v>
      </c>
      <c r="O22" s="25">
        <f t="shared" ref="O22:O26" si="8">M22/100*J22</f>
        <v>1.2362311101832848</v>
      </c>
      <c r="P22" s="1">
        <v>2</v>
      </c>
      <c r="Q22" s="63">
        <v>0.35000000000000003</v>
      </c>
      <c r="R22" s="102">
        <f>ABS(Q22)/D10</f>
        <v>0.35000000000000003</v>
      </c>
      <c r="S22" s="103">
        <v>1.2362311101832848</v>
      </c>
      <c r="U22" s="10"/>
      <c r="V22" s="10">
        <f t="shared" ref="V22:V26" si="9">W22</f>
        <v>0.35000000000000003</v>
      </c>
      <c r="W22" s="40">
        <f t="shared" ref="W22:W26" si="10">Q22*$U$23</f>
        <v>0.35000000000000003</v>
      </c>
      <c r="X22" s="32">
        <f t="shared" si="5"/>
        <v>4.2</v>
      </c>
      <c r="Y22" s="32">
        <f t="shared" ref="Y22:Y26" si="11">3*W22</f>
        <v>1.05</v>
      </c>
      <c r="Z22" s="32"/>
      <c r="AA22" s="32">
        <f>$V22*D21</f>
        <v>-0.1124878316951444</v>
      </c>
      <c r="AB22" s="32">
        <f>$V22*D22</f>
        <v>0.30905777754582126</v>
      </c>
      <c r="AC22" s="32">
        <f>$V22*D23</f>
        <v>-0.11970705016398409</v>
      </c>
      <c r="AD22" s="32">
        <f>$V22*D24</f>
        <v>-2.3342874781976897</v>
      </c>
      <c r="AE22" s="32">
        <f>$V22*D25</f>
        <v>1.0773634514758568</v>
      </c>
      <c r="AF22" s="32">
        <f>$V22*D26</f>
        <v>4.975032715967707</v>
      </c>
      <c r="AG22" s="32"/>
      <c r="AH22" s="23">
        <v>1.4352898336556934</v>
      </c>
    </row>
    <row r="23" spans="2:34" ht="15.75" x14ac:dyDescent="0.55000000000000004">
      <c r="B23" s="12" t="s">
        <v>8</v>
      </c>
      <c r="C23" s="48">
        <f t="shared" si="4"/>
        <v>0.34202014332566877</v>
      </c>
      <c r="D23" s="21">
        <f t="shared" si="4"/>
        <v>-0.34202014332566877</v>
      </c>
      <c r="E23" s="21">
        <f t="shared" si="4"/>
        <v>0.34202014332566877</v>
      </c>
      <c r="F23" s="21">
        <f t="shared" si="4"/>
        <v>-0.34202014332566877</v>
      </c>
      <c r="G23" s="21">
        <f t="shared" si="4"/>
        <v>1</v>
      </c>
      <c r="H23" s="49">
        <f t="shared" si="4"/>
        <v>1</v>
      </c>
      <c r="I23" s="10">
        <f t="shared" si="6"/>
        <v>2</v>
      </c>
      <c r="J23" s="32">
        <f t="shared" si="7"/>
        <v>3.3680805733026755</v>
      </c>
      <c r="M23" s="28">
        <v>0</v>
      </c>
      <c r="N23" s="16" t="s">
        <v>32</v>
      </c>
      <c r="O23" s="25">
        <f t="shared" si="8"/>
        <v>0</v>
      </c>
      <c r="P23" s="1">
        <v>3</v>
      </c>
      <c r="Q23" s="63">
        <v>0.35000000000000003</v>
      </c>
      <c r="R23" s="102">
        <f>ABS(Q23)/E10</f>
        <v>0.35000000000000003</v>
      </c>
      <c r="S23" s="103">
        <v>4.1372087341632834E-17</v>
      </c>
      <c r="U23" s="105">
        <f>1/U21</f>
        <v>1</v>
      </c>
      <c r="V23" s="10">
        <f t="shared" si="9"/>
        <v>0.35000000000000003</v>
      </c>
      <c r="W23" s="40">
        <f t="shared" si="10"/>
        <v>0.35000000000000003</v>
      </c>
      <c r="X23" s="32">
        <f t="shared" si="5"/>
        <v>4.2</v>
      </c>
      <c r="Y23" s="32">
        <f t="shared" si="11"/>
        <v>1.05</v>
      </c>
      <c r="Z23" s="32"/>
      <c r="AA23" s="32">
        <f>$V23*E21</f>
        <v>0.11248783169514444</v>
      </c>
      <c r="AB23" s="32">
        <f>$V23*E22</f>
        <v>0.3090577775458212</v>
      </c>
      <c r="AC23" s="32">
        <f>$V23*E23</f>
        <v>0.11970705016398409</v>
      </c>
      <c r="AD23" s="32">
        <f>$V23*E24</f>
        <v>2.3342874781976897</v>
      </c>
      <c r="AE23" s="32">
        <f>$V23*E25</f>
        <v>1.0773634514758568</v>
      </c>
      <c r="AF23" s="32">
        <f>$V23*E26</f>
        <v>-4.9750327159677079</v>
      </c>
      <c r="AG23" s="32"/>
      <c r="AH23" s="23">
        <v>5.7093360902182591</v>
      </c>
    </row>
    <row r="24" spans="2:34" ht="15.75" x14ac:dyDescent="0.55000000000000004">
      <c r="B24" s="12" t="s">
        <v>9</v>
      </c>
      <c r="C24" s="48">
        <f>C15*C23-C16*C22</f>
        <v>-6.6693927948505412</v>
      </c>
      <c r="D24" s="21">
        <f t="shared" ref="D24:H24" si="12">D15*D23-D16*D22</f>
        <v>-6.6693927948505412</v>
      </c>
      <c r="E24" s="21">
        <f t="shared" si="12"/>
        <v>6.6693927948505412</v>
      </c>
      <c r="F24" s="21">
        <f t="shared" si="12"/>
        <v>6.6693927948505412</v>
      </c>
      <c r="G24" s="21">
        <f t="shared" si="12"/>
        <v>19.5</v>
      </c>
      <c r="H24" s="49">
        <f t="shared" si="12"/>
        <v>-19.5</v>
      </c>
      <c r="I24" s="10">
        <f t="shared" si="6"/>
        <v>0</v>
      </c>
      <c r="J24" s="32">
        <f t="shared" si="7"/>
        <v>65.677571179402165</v>
      </c>
      <c r="M24" s="28">
        <v>0</v>
      </c>
      <c r="N24" s="16" t="s">
        <v>33</v>
      </c>
      <c r="O24" s="25">
        <f t="shared" si="8"/>
        <v>0</v>
      </c>
      <c r="P24" s="1">
        <v>4</v>
      </c>
      <c r="Q24" s="63">
        <v>0.35</v>
      </c>
      <c r="R24" s="102">
        <f>ABS(Q24)/F10</f>
        <v>0.35</v>
      </c>
      <c r="S24" s="103">
        <v>3.8387262119021769E-16</v>
      </c>
      <c r="U24" s="10"/>
      <c r="V24" s="10">
        <f t="shared" si="9"/>
        <v>0.35</v>
      </c>
      <c r="W24" s="40">
        <f t="shared" si="10"/>
        <v>0.35</v>
      </c>
      <c r="X24" s="32">
        <f t="shared" si="5"/>
        <v>4.1999999999999993</v>
      </c>
      <c r="Y24" s="32">
        <f t="shared" si="11"/>
        <v>1.0499999999999998</v>
      </c>
      <c r="Z24" s="32"/>
      <c r="AA24" s="32">
        <f>$V24*F21</f>
        <v>-0.11248783169514438</v>
      </c>
      <c r="AB24" s="32">
        <f>$V24*F22</f>
        <v>0.3090577775458212</v>
      </c>
      <c r="AC24" s="32">
        <f>$V24*F23</f>
        <v>-0.11970705016398406</v>
      </c>
      <c r="AD24" s="32">
        <f>$V24*F24</f>
        <v>2.3342874781976892</v>
      </c>
      <c r="AE24" s="32">
        <f>$V24*F25</f>
        <v>-1.0773634514758565</v>
      </c>
      <c r="AF24" s="32">
        <f>$V24*F26</f>
        <v>-4.9750327159677061</v>
      </c>
      <c r="AG24" s="32"/>
    </row>
    <row r="25" spans="2:34" ht="15.75" x14ac:dyDescent="0.55000000000000004">
      <c r="B25" s="12" t="s">
        <v>10</v>
      </c>
      <c r="C25" s="48">
        <f>C16*C21-C14*C23</f>
        <v>-3.078181289931019</v>
      </c>
      <c r="D25" s="21">
        <f t="shared" ref="D25:H25" si="13">D16*D21-D14*D23</f>
        <v>3.078181289931019</v>
      </c>
      <c r="E25" s="21">
        <f t="shared" si="13"/>
        <v>3.078181289931019</v>
      </c>
      <c r="F25" s="21">
        <f t="shared" si="13"/>
        <v>-3.078181289931019</v>
      </c>
      <c r="G25" s="21">
        <f t="shared" si="13"/>
        <v>0</v>
      </c>
      <c r="H25" s="49">
        <f t="shared" si="13"/>
        <v>0</v>
      </c>
      <c r="I25" s="10">
        <f t="shared" si="6"/>
        <v>0</v>
      </c>
      <c r="J25" s="32">
        <f t="shared" si="7"/>
        <v>12.312725159724076</v>
      </c>
      <c r="M25" s="28">
        <v>0</v>
      </c>
      <c r="N25" s="16" t="s">
        <v>34</v>
      </c>
      <c r="O25" s="25">
        <f t="shared" si="8"/>
        <v>0</v>
      </c>
      <c r="P25" s="1">
        <v>5</v>
      </c>
      <c r="Q25" s="63">
        <v>2.0140919328515773E-17</v>
      </c>
      <c r="R25" s="102">
        <f>ABS(Q25)/G10</f>
        <v>2.0140919328515773E-17</v>
      </c>
      <c r="S25" s="103">
        <v>4.0137164425413374E-16</v>
      </c>
      <c r="U25" s="10"/>
      <c r="V25" s="10">
        <f t="shared" si="9"/>
        <v>2.0140919328515773E-17</v>
      </c>
      <c r="W25" s="40">
        <f t="shared" si="10"/>
        <v>2.0140919328515773E-17</v>
      </c>
      <c r="X25" s="32">
        <f t="shared" si="5"/>
        <v>2.4169103194218926E-16</v>
      </c>
      <c r="Y25" s="32">
        <f t="shared" si="11"/>
        <v>6.0422757985547314E-17</v>
      </c>
      <c r="Z25" s="32"/>
      <c r="AA25" s="32">
        <f>$V25*G21</f>
        <v>0</v>
      </c>
      <c r="AB25" s="32">
        <f>$V25*G22</f>
        <v>0</v>
      </c>
      <c r="AC25" s="32">
        <f>$V25*G23</f>
        <v>2.0140919328515773E-17</v>
      </c>
      <c r="AD25" s="32">
        <f>$V25*G24</f>
        <v>3.927479269060576E-16</v>
      </c>
      <c r="AE25" s="32">
        <f>$V25*G25</f>
        <v>0</v>
      </c>
      <c r="AF25" s="32">
        <f>$V25*G26</f>
        <v>0</v>
      </c>
      <c r="AG25" s="32"/>
    </row>
    <row r="26" spans="2:34" ht="16.149999999999999" thickBot="1" x14ac:dyDescent="0.6">
      <c r="B26" s="13" t="s">
        <v>11</v>
      </c>
      <c r="C26" s="50">
        <f>C14*C22-C15*C21</f>
        <v>14.214379188479164</v>
      </c>
      <c r="D26" s="51">
        <f t="shared" ref="D26:H26" si="14">D14*D22-D15*D21</f>
        <v>14.21437918847916</v>
      </c>
      <c r="E26" s="51">
        <f t="shared" si="14"/>
        <v>-14.214379188479164</v>
      </c>
      <c r="F26" s="51">
        <f t="shared" si="14"/>
        <v>-14.21437918847916</v>
      </c>
      <c r="G26" s="51">
        <f t="shared" si="14"/>
        <v>0</v>
      </c>
      <c r="H26" s="52">
        <f t="shared" si="14"/>
        <v>0</v>
      </c>
      <c r="I26" s="10">
        <f t="shared" si="6"/>
        <v>0</v>
      </c>
      <c r="J26" s="32">
        <f t="shared" si="7"/>
        <v>56.857516753916649</v>
      </c>
      <c r="M26" s="29">
        <v>0</v>
      </c>
      <c r="N26" s="17" t="s">
        <v>35</v>
      </c>
      <c r="O26" s="26">
        <f t="shared" si="8"/>
        <v>0</v>
      </c>
      <c r="P26" s="1">
        <v>6</v>
      </c>
      <c r="Q26" s="63">
        <v>2.4741272546538881E-17</v>
      </c>
      <c r="R26" s="102">
        <f>ABS(Q26)/H10</f>
        <v>2.4741272546538881E-17</v>
      </c>
      <c r="S26" s="103">
        <v>3.1571967262777889E-16</v>
      </c>
      <c r="U26" s="10"/>
      <c r="V26" s="10">
        <f t="shared" si="9"/>
        <v>2.4741272546538881E-17</v>
      </c>
      <c r="W26" s="40">
        <f t="shared" si="10"/>
        <v>2.4741272546538881E-17</v>
      </c>
      <c r="X26" s="32">
        <f t="shared" si="5"/>
        <v>2.968952705584666E-16</v>
      </c>
      <c r="Y26" s="32">
        <f t="shared" si="11"/>
        <v>7.422381763961665E-17</v>
      </c>
      <c r="Z26" s="32"/>
      <c r="AA26" s="32">
        <f>$V26*H21</f>
        <v>0</v>
      </c>
      <c r="AB26" s="32">
        <f>$V26*H22</f>
        <v>0</v>
      </c>
      <c r="AC26" s="32">
        <f>$V26*H23</f>
        <v>2.4741272546538881E-17</v>
      </c>
      <c r="AD26" s="32">
        <f>$V26*H24</f>
        <v>-4.8245481465750815E-16</v>
      </c>
      <c r="AE26" s="32">
        <f>$V26*H25</f>
        <v>0</v>
      </c>
      <c r="AF26" s="32">
        <f>$V26*MH26</f>
        <v>0</v>
      </c>
      <c r="AG26" s="32"/>
    </row>
    <row r="27" spans="2:34" ht="14.65" thickTop="1" x14ac:dyDescent="0.45">
      <c r="Q27" s="10"/>
      <c r="Y27" s="32"/>
    </row>
    <row r="28" spans="2:34" x14ac:dyDescent="0.45">
      <c r="C28" s="22" t="s">
        <v>39</v>
      </c>
      <c r="D28" s="22"/>
      <c r="E28" s="22"/>
      <c r="F28" s="22"/>
      <c r="O28" s="3" t="s">
        <v>78</v>
      </c>
      <c r="Q28" s="10">
        <f>SUMIF(ThrusterThrust,"&gt;0") +ABS(SUMIF(ThrusterThrust,"&lt;0"))</f>
        <v>1.4</v>
      </c>
      <c r="X28" s="3" t="s">
        <v>83</v>
      </c>
      <c r="Y28" s="32">
        <f>SUMIF(Y21:Y26,"&gt;0") + ABS(SUMIF(Y21:Y26,"&lt;0"))</f>
        <v>4.1999999999999993</v>
      </c>
      <c r="Z28" s="30" t="s">
        <v>85</v>
      </c>
      <c r="AA28" s="32">
        <f>SUM(AA21:AA26)</f>
        <v>8.3266726846886741E-17</v>
      </c>
      <c r="AB28" s="32">
        <f>SUM(AB21:AB26)</f>
        <v>1.2362311101832848</v>
      </c>
      <c r="AC28" s="32">
        <f>SUM(AC21:AC26)</f>
        <v>4.4882191875054655E-17</v>
      </c>
      <c r="AD28" s="32">
        <f t="shared" ref="AD28:AF28" si="15">SUM(AD21:AD26)</f>
        <v>3.5438232209861212E-16</v>
      </c>
      <c r="AE28" s="32">
        <f t="shared" si="15"/>
        <v>4.4408920985006262E-16</v>
      </c>
      <c r="AF28" s="32">
        <f t="shared" si="15"/>
        <v>0</v>
      </c>
    </row>
    <row r="29" spans="2:34" ht="14.65" customHeight="1" thickBot="1" x14ac:dyDescent="0.5"/>
    <row r="30" spans="2:34" ht="15" thickTop="1" thickBot="1" x14ac:dyDescent="0.5">
      <c r="D30" s="14"/>
      <c r="S30" s="41"/>
      <c r="AC30" s="112" t="s">
        <v>90</v>
      </c>
      <c r="AD30" s="112"/>
      <c r="AE30" s="112"/>
      <c r="AF30" s="112" t="s">
        <v>89</v>
      </c>
      <c r="AG30" s="112"/>
      <c r="AH30" s="112"/>
    </row>
    <row r="31" spans="2:34" ht="14.65" thickTop="1" x14ac:dyDescent="0.45">
      <c r="G31">
        <f>SQRT(C17^2+C18^2)</f>
        <v>1</v>
      </c>
      <c r="P31" s="3" t="s">
        <v>67</v>
      </c>
      <c r="AB31" s="64" t="s">
        <v>87</v>
      </c>
      <c r="AC31" s="64" t="s">
        <v>56</v>
      </c>
      <c r="AD31" s="64" t="s">
        <v>57</v>
      </c>
      <c r="AE31" s="64" t="s">
        <v>58</v>
      </c>
      <c r="AF31" s="64" t="s">
        <v>92</v>
      </c>
      <c r="AG31" s="64" t="s">
        <v>93</v>
      </c>
      <c r="AH31" s="64" t="s">
        <v>94</v>
      </c>
    </row>
    <row r="32" spans="2:34" x14ac:dyDescent="0.45">
      <c r="J32" s="20"/>
      <c r="O32" s="3" t="s">
        <v>72</v>
      </c>
      <c r="P32" s="3" t="s">
        <v>73</v>
      </c>
      <c r="Q32" s="3" t="s">
        <v>74</v>
      </c>
      <c r="R32" s="3" t="s">
        <v>64</v>
      </c>
      <c r="S32" s="3" t="s">
        <v>66</v>
      </c>
      <c r="T32" s="3" t="s">
        <v>65</v>
      </c>
      <c r="U32" s="3"/>
      <c r="V32" s="3"/>
      <c r="W32" s="3" t="s">
        <v>68</v>
      </c>
      <c r="Y32" s="3" t="s">
        <v>81</v>
      </c>
      <c r="Z32" s="3"/>
      <c r="AA32" s="3"/>
      <c r="AB32" s="65">
        <v>1</v>
      </c>
      <c r="AC32" s="10">
        <f>C14</f>
        <v>9</v>
      </c>
      <c r="AD32" s="10">
        <f>C15</f>
        <v>-19.5</v>
      </c>
      <c r="AE32" s="10">
        <f>C16</f>
        <v>0</v>
      </c>
      <c r="AF32" s="32">
        <f t="shared" ref="AF32:AH37" si="16">AA21*ForceScaleFactor</f>
        <v>2.2497566339028885</v>
      </c>
      <c r="AG32" s="32">
        <f t="shared" si="16"/>
        <v>6.1811555509164231</v>
      </c>
      <c r="AH32" s="32">
        <f t="shared" si="16"/>
        <v>2.3941410032796813</v>
      </c>
    </row>
    <row r="33" spans="1:34" ht="14.65" customHeight="1" x14ac:dyDescent="0.45">
      <c r="M33" s="111" t="s">
        <v>23</v>
      </c>
      <c r="N33" s="3">
        <v>1</v>
      </c>
      <c r="O33" s="106">
        <f t="array" ref="O33:O38">IF(SUM(MaxValues)&lt;&gt;0,CalcThrust(O40:O45))</f>
        <v>0.77786191343020594</v>
      </c>
      <c r="P33" s="32">
        <f t="array" ref="P33:P38">IF(SUM(MaxValues)&lt;&gt;0,CalcThrust(P40:P45))</f>
        <v>0.28311858285794855</v>
      </c>
      <c r="Q33" s="32">
        <f t="array" ref="Q33:Q38">IF(SUM(MaxValues)&lt;&gt;0,CalcThrust(Q40:Q45))</f>
        <v>0</v>
      </c>
      <c r="R33" s="32">
        <f t="array" ref="R33:R38">IF(SUM(MaxValues)&lt;&gt;0,CalcThrust(R40:R45))</f>
        <v>0</v>
      </c>
      <c r="S33" s="32">
        <f t="array" ref="S33:S38">IF(SUM(MaxValues)&lt;&gt;0,CalcThrust(S40:S45))</f>
        <v>-8.1216788893419115E-2</v>
      </c>
      <c r="T33" s="32">
        <f t="array" ref="T33:T38">IF(SUM(MaxValues)&lt;&gt;0,CalcThrust(T40:T45))</f>
        <v>1.758782403966164E-2</v>
      </c>
      <c r="U33" s="10"/>
      <c r="V33" s="10"/>
      <c r="W33" s="10">
        <f t="shared" ref="W33:W38" si="17">SUMIF($O33:$T33,"&gt;0")+ABS(SUMIF($O33:$T33,"&lt;0"))</f>
        <v>1.1597851092212352</v>
      </c>
      <c r="Y33" s="10">
        <f>W33/W$40*3</f>
        <v>3</v>
      </c>
      <c r="Z33" s="10"/>
      <c r="AA33" s="10"/>
      <c r="AB33" s="66">
        <v>2</v>
      </c>
      <c r="AC33" s="10">
        <f>D14</f>
        <v>9</v>
      </c>
      <c r="AD33" s="10">
        <f>D15</f>
        <v>19.5</v>
      </c>
      <c r="AE33" s="10">
        <f t="shared" ref="AE33:AE37" si="18">C17</f>
        <v>0.34202014332566882</v>
      </c>
      <c r="AF33" s="32">
        <f t="shared" si="16"/>
        <v>-2.249756633902888</v>
      </c>
      <c r="AG33" s="32">
        <f t="shared" si="16"/>
        <v>6.1811555509164249</v>
      </c>
      <c r="AH33" s="32">
        <f t="shared" si="16"/>
        <v>-2.3941410032796817</v>
      </c>
    </row>
    <row r="34" spans="1:34" x14ac:dyDescent="0.45">
      <c r="M34" s="111"/>
      <c r="N34" s="3">
        <v>2</v>
      </c>
      <c r="O34" s="32">
        <v>-0.77786191343020594</v>
      </c>
      <c r="P34" s="32">
        <v>0.2831185828579485</v>
      </c>
      <c r="Q34" s="32">
        <v>0</v>
      </c>
      <c r="R34" s="32">
        <v>0</v>
      </c>
      <c r="S34" s="32">
        <v>8.1216788893419128E-2</v>
      </c>
      <c r="T34" s="32">
        <v>1.7587824039661647E-2</v>
      </c>
      <c r="U34" s="10"/>
      <c r="V34" s="10"/>
      <c r="W34" s="10">
        <f t="shared" si="17"/>
        <v>1.1597851092212352</v>
      </c>
      <c r="Y34" s="10">
        <f t="shared" ref="Y34:Y38" si="19">W34/W$40*3</f>
        <v>3</v>
      </c>
      <c r="Z34" s="10"/>
      <c r="AA34" s="10"/>
      <c r="AB34" s="65">
        <v>3</v>
      </c>
      <c r="AC34" s="10">
        <f>E14</f>
        <v>-9</v>
      </c>
      <c r="AD34" s="10">
        <f>E15</f>
        <v>19.5</v>
      </c>
      <c r="AE34" s="10">
        <f t="shared" si="18"/>
        <v>0.93969262078590832</v>
      </c>
      <c r="AF34" s="32">
        <f t="shared" si="16"/>
        <v>2.2497566339028889</v>
      </c>
      <c r="AG34" s="32">
        <f t="shared" si="16"/>
        <v>6.181155550916424</v>
      </c>
      <c r="AH34" s="32">
        <f t="shared" si="16"/>
        <v>2.3941410032796817</v>
      </c>
    </row>
    <row r="35" spans="1:34" x14ac:dyDescent="0.45">
      <c r="B35" s="3" t="s">
        <v>53</v>
      </c>
      <c r="M35" s="111"/>
      <c r="N35" s="3">
        <v>3</v>
      </c>
      <c r="O35" s="32">
        <v>0.77786191343020605</v>
      </c>
      <c r="P35" s="32">
        <v>0.28311858285794855</v>
      </c>
      <c r="Q35" s="32">
        <v>0</v>
      </c>
      <c r="R35" s="32">
        <v>0</v>
      </c>
      <c r="S35" s="32">
        <v>8.1216788893419031E-2</v>
      </c>
      <c r="T35" s="32">
        <v>-1.7587824039661651E-2</v>
      </c>
      <c r="U35" s="10"/>
      <c r="V35" s="10"/>
      <c r="W35" s="10">
        <f t="shared" si="17"/>
        <v>1.1597851092212352</v>
      </c>
      <c r="Y35" s="10">
        <f t="shared" si="19"/>
        <v>3</v>
      </c>
      <c r="Z35" s="10"/>
      <c r="AA35" s="10"/>
      <c r="AB35" s="66">
        <v>4</v>
      </c>
      <c r="AC35" s="10">
        <f>F14</f>
        <v>-9</v>
      </c>
      <c r="AD35" s="10">
        <f>F15</f>
        <v>-19.5</v>
      </c>
      <c r="AE35" s="10">
        <f t="shared" si="18"/>
        <v>0.36397023426620234</v>
      </c>
      <c r="AF35" s="32">
        <f t="shared" si="16"/>
        <v>-2.2497566339028876</v>
      </c>
      <c r="AG35" s="32">
        <f t="shared" si="16"/>
        <v>6.181155550916424</v>
      </c>
      <c r="AH35" s="32">
        <f t="shared" si="16"/>
        <v>-2.3941410032796813</v>
      </c>
    </row>
    <row r="36" spans="1:34" x14ac:dyDescent="0.45">
      <c r="B36" s="3" t="s">
        <v>45</v>
      </c>
      <c r="C36" s="3" t="s">
        <v>46</v>
      </c>
      <c r="D36" s="3" t="s">
        <v>47</v>
      </c>
      <c r="E36" s="3" t="s">
        <v>48</v>
      </c>
      <c r="F36" s="3" t="s">
        <v>49</v>
      </c>
      <c r="G36" s="3" t="s">
        <v>50</v>
      </c>
      <c r="H36" s="3" t="s">
        <v>51</v>
      </c>
      <c r="I36" s="3" t="s">
        <v>52</v>
      </c>
      <c r="M36" s="111"/>
      <c r="N36" s="3">
        <v>4</v>
      </c>
      <c r="O36" s="32">
        <v>-0.77786191343020594</v>
      </c>
      <c r="P36" s="32">
        <v>0.2831185828579485</v>
      </c>
      <c r="Q36" s="32">
        <v>0</v>
      </c>
      <c r="R36" s="32">
        <v>0</v>
      </c>
      <c r="S36" s="32">
        <v>-8.1216788893419059E-2</v>
      </c>
      <c r="T36" s="32">
        <v>-1.7587824039661644E-2</v>
      </c>
      <c r="U36" s="10"/>
      <c r="V36" s="10"/>
      <c r="W36" s="10">
        <f t="shared" si="17"/>
        <v>1.1597851092212352</v>
      </c>
      <c r="Y36" s="10">
        <f t="shared" si="19"/>
        <v>3</v>
      </c>
      <c r="Z36" s="10"/>
      <c r="AA36" s="10"/>
      <c r="AB36" s="65">
        <v>5</v>
      </c>
      <c r="AC36" s="10">
        <f>G14</f>
        <v>0</v>
      </c>
      <c r="AD36" s="10">
        <f>G15</f>
        <v>19.5</v>
      </c>
      <c r="AE36" s="10">
        <f t="shared" si="18"/>
        <v>1.0641777724759121</v>
      </c>
      <c r="AF36" s="32">
        <f t="shared" si="16"/>
        <v>0</v>
      </c>
      <c r="AG36" s="32">
        <f t="shared" si="16"/>
        <v>0</v>
      </c>
      <c r="AH36" s="32">
        <f t="shared" si="16"/>
        <v>4.0281838657031549E-16</v>
      </c>
    </row>
    <row r="37" spans="1:34" x14ac:dyDescent="0.45">
      <c r="A37" s="30" t="s">
        <v>42</v>
      </c>
      <c r="B37" s="31">
        <v>4.5</v>
      </c>
      <c r="C37" s="31">
        <v>4.5</v>
      </c>
      <c r="D37" s="31">
        <v>-4.5</v>
      </c>
      <c r="E37" s="31">
        <v>-4.5</v>
      </c>
      <c r="F37" s="31">
        <v>4.5</v>
      </c>
      <c r="G37" s="31">
        <v>4.5</v>
      </c>
      <c r="H37" s="31">
        <v>-4.5</v>
      </c>
      <c r="I37" s="31">
        <v>-4.5</v>
      </c>
      <c r="M37" s="111"/>
      <c r="N37" s="3">
        <v>5</v>
      </c>
      <c r="O37" s="32">
        <v>-0.53208888623795603</v>
      </c>
      <c r="P37" s="32">
        <v>2.2700537361768492E-17</v>
      </c>
      <c r="Q37" s="32">
        <v>0.5</v>
      </c>
      <c r="R37" s="32">
        <v>2.564102564102564E-2</v>
      </c>
      <c r="S37" s="32">
        <v>9.690856752993646E-18</v>
      </c>
      <c r="T37" s="32">
        <v>1.2030780197663441E-2</v>
      </c>
      <c r="U37" s="10"/>
      <c r="V37" s="10"/>
      <c r="W37" s="10">
        <f t="shared" si="17"/>
        <v>1.0697606920766451</v>
      </c>
      <c r="Y37" s="10">
        <f t="shared" si="19"/>
        <v>2.7671350931422829</v>
      </c>
      <c r="Z37" s="10"/>
      <c r="AA37" s="10"/>
      <c r="AB37" s="65">
        <v>6</v>
      </c>
      <c r="AC37" s="10">
        <f>H14</f>
        <v>0</v>
      </c>
      <c r="AD37" s="10">
        <f>H15</f>
        <v>-19.5</v>
      </c>
      <c r="AE37" s="10">
        <f t="shared" si="18"/>
        <v>0.32139380484326979</v>
      </c>
      <c r="AF37" s="32">
        <f t="shared" si="16"/>
        <v>0</v>
      </c>
      <c r="AG37" s="32">
        <f t="shared" si="16"/>
        <v>0</v>
      </c>
      <c r="AH37" s="32">
        <f t="shared" si="16"/>
        <v>4.948254509307776E-16</v>
      </c>
    </row>
    <row r="38" spans="1:34" x14ac:dyDescent="0.45">
      <c r="A38" s="30" t="s">
        <v>43</v>
      </c>
      <c r="B38" s="31">
        <v>-3.5</v>
      </c>
      <c r="C38" s="31">
        <v>3.5</v>
      </c>
      <c r="D38" s="31">
        <v>3.5</v>
      </c>
      <c r="E38" s="31">
        <v>-3.5</v>
      </c>
      <c r="F38" s="31">
        <v>-3.5</v>
      </c>
      <c r="G38" s="31">
        <v>3.5</v>
      </c>
      <c r="H38" s="31">
        <v>3.5</v>
      </c>
      <c r="I38" s="31">
        <v>-3.5</v>
      </c>
      <c r="M38" s="111"/>
      <c r="N38" s="3">
        <v>6</v>
      </c>
      <c r="O38" s="32">
        <v>-0.53208888623795603</v>
      </c>
      <c r="P38" s="32">
        <v>2.6421810172433365E-17</v>
      </c>
      <c r="Q38" s="32">
        <v>0.5</v>
      </c>
      <c r="R38" s="32">
        <v>-2.564102564102564E-2</v>
      </c>
      <c r="S38" s="32">
        <v>-5.2632112177617109E-18</v>
      </c>
      <c r="T38" s="32">
        <v>-1.2030780197663434E-2</v>
      </c>
      <c r="U38" s="10"/>
      <c r="V38" s="10"/>
      <c r="W38" s="10">
        <f t="shared" si="17"/>
        <v>1.0697606920766451</v>
      </c>
      <c r="Y38" s="10">
        <f t="shared" si="19"/>
        <v>2.7671350931422829</v>
      </c>
      <c r="Z38" s="10"/>
      <c r="AA38" s="10"/>
      <c r="AB38" s="10"/>
    </row>
    <row r="39" spans="1:34" x14ac:dyDescent="0.45">
      <c r="A39" s="30" t="s">
        <v>44</v>
      </c>
      <c r="B39" s="31">
        <v>-2</v>
      </c>
      <c r="C39" s="31">
        <v>-2</v>
      </c>
      <c r="D39" s="31">
        <v>-2</v>
      </c>
      <c r="E39" s="31">
        <v>-2</v>
      </c>
      <c r="F39" s="31">
        <v>6</v>
      </c>
      <c r="G39" s="31">
        <v>6</v>
      </c>
      <c r="H39" s="31">
        <v>6</v>
      </c>
      <c r="I39" s="31">
        <v>6</v>
      </c>
      <c r="O39" s="107" t="s">
        <v>79</v>
      </c>
      <c r="P39" s="32"/>
      <c r="Q39" s="32"/>
      <c r="R39" s="32"/>
      <c r="S39" s="32"/>
      <c r="T39" s="32"/>
      <c r="W39" s="10" t="s">
        <v>80</v>
      </c>
      <c r="Y39" s="10"/>
      <c r="Z39" s="10"/>
      <c r="AA39" s="10"/>
      <c r="AB39" s="10"/>
      <c r="AC39" s="3" t="s">
        <v>88</v>
      </c>
      <c r="AF39">
        <v>20</v>
      </c>
    </row>
    <row r="40" spans="1:34" x14ac:dyDescent="0.45">
      <c r="N40" t="s">
        <v>61</v>
      </c>
      <c r="O40" s="32">
        <v>1</v>
      </c>
      <c r="P40" s="32">
        <v>0</v>
      </c>
      <c r="Q40" s="32">
        <v>0</v>
      </c>
      <c r="R40" s="32">
        <v>0</v>
      </c>
      <c r="S40" s="32">
        <v>0</v>
      </c>
      <c r="T40" s="32">
        <v>0</v>
      </c>
      <c r="W40" s="10">
        <f>MAX(W33:W38)</f>
        <v>1.1597851092212352</v>
      </c>
      <c r="Y40" s="10">
        <f>SUM(Y33:Y39)</f>
        <v>17.534270186284566</v>
      </c>
      <c r="Z40" s="10"/>
      <c r="AA40" s="10"/>
      <c r="AB40" s="10"/>
    </row>
    <row r="41" spans="1:34" x14ac:dyDescent="0.45">
      <c r="N41" t="s">
        <v>62</v>
      </c>
      <c r="O41" s="32">
        <v>0</v>
      </c>
      <c r="P41" s="32">
        <v>1</v>
      </c>
      <c r="Q41" s="32">
        <v>0</v>
      </c>
      <c r="R41" s="32">
        <v>0</v>
      </c>
      <c r="S41" s="32">
        <v>0</v>
      </c>
      <c r="T41" s="32">
        <v>0</v>
      </c>
      <c r="AB41" s="3" t="s">
        <v>91</v>
      </c>
    </row>
    <row r="42" spans="1:34" x14ac:dyDescent="0.45">
      <c r="N42" t="s">
        <v>63</v>
      </c>
      <c r="O42" s="32">
        <v>0</v>
      </c>
      <c r="P42" s="32">
        <v>0</v>
      </c>
      <c r="Q42" s="32">
        <v>1</v>
      </c>
      <c r="R42" s="32">
        <v>0</v>
      </c>
      <c r="S42" s="32">
        <v>0</v>
      </c>
      <c r="T42" s="32">
        <v>0</v>
      </c>
    </row>
    <row r="43" spans="1:34" x14ac:dyDescent="0.45">
      <c r="C43" s="33"/>
      <c r="D43" s="33"/>
      <c r="E43" s="33"/>
      <c r="F43" s="33"/>
      <c r="G43" s="33"/>
      <c r="H43" s="33"/>
      <c r="I43" s="34"/>
      <c r="N43" t="s">
        <v>77</v>
      </c>
      <c r="O43" s="32">
        <v>0</v>
      </c>
      <c r="P43" s="32">
        <v>0</v>
      </c>
      <c r="Q43" s="32">
        <v>0</v>
      </c>
      <c r="R43" s="32">
        <v>1</v>
      </c>
      <c r="S43" s="32">
        <v>0</v>
      </c>
      <c r="T43" s="32">
        <v>0</v>
      </c>
      <c r="AB43">
        <v>1</v>
      </c>
      <c r="AC43" s="10">
        <f>AC32</f>
        <v>9</v>
      </c>
      <c r="AD43" s="10">
        <f>AD32</f>
        <v>-19.5</v>
      </c>
    </row>
    <row r="44" spans="1:34" x14ac:dyDescent="0.45">
      <c r="B44" t="s">
        <v>124</v>
      </c>
      <c r="C44" s="33"/>
      <c r="D44" s="33"/>
      <c r="E44" s="33"/>
      <c r="F44" s="33"/>
      <c r="G44" s="33"/>
      <c r="H44" s="33"/>
      <c r="I44" s="34"/>
      <c r="N44" t="s">
        <v>75</v>
      </c>
      <c r="O44" s="32">
        <v>0</v>
      </c>
      <c r="P44" s="32">
        <v>0</v>
      </c>
      <c r="Q44" s="32">
        <v>0</v>
      </c>
      <c r="R44" s="32">
        <v>0</v>
      </c>
      <c r="S44" s="32">
        <v>1</v>
      </c>
      <c r="T44" s="32">
        <v>0</v>
      </c>
      <c r="AC44" s="10">
        <f>AC43+AF32</f>
        <v>11.249756633902889</v>
      </c>
      <c r="AD44" s="10">
        <f>AD43+AG32</f>
        <v>-13.318844449083578</v>
      </c>
    </row>
    <row r="45" spans="1:34" x14ac:dyDescent="0.45">
      <c r="C45" s="34"/>
      <c r="D45" s="34"/>
      <c r="E45" s="34"/>
      <c r="F45" s="34"/>
      <c r="G45" s="34"/>
      <c r="H45" s="34"/>
      <c r="I45" s="34"/>
      <c r="N45" t="s">
        <v>76</v>
      </c>
      <c r="O45" s="32">
        <v>0</v>
      </c>
      <c r="P45" s="32">
        <v>0</v>
      </c>
      <c r="Q45" s="32">
        <v>0</v>
      </c>
      <c r="R45" s="32">
        <v>0</v>
      </c>
      <c r="S45" s="32">
        <v>0</v>
      </c>
      <c r="T45" s="32">
        <v>1</v>
      </c>
    </row>
    <row r="46" spans="1:34" x14ac:dyDescent="0.45">
      <c r="C46" s="34">
        <v>-19.399999999999999</v>
      </c>
      <c r="D46" s="34">
        <v>0</v>
      </c>
      <c r="E46" s="34">
        <v>19.399999999999999</v>
      </c>
      <c r="F46" s="34">
        <v>19.399999999999999</v>
      </c>
      <c r="G46" s="34">
        <v>0</v>
      </c>
      <c r="H46" s="34">
        <v>-18.399999999999999</v>
      </c>
      <c r="I46" s="34"/>
      <c r="AB46">
        <v>2</v>
      </c>
      <c r="AC46" s="10">
        <f>AC33</f>
        <v>9</v>
      </c>
      <c r="AD46" s="10">
        <f>AD33</f>
        <v>19.5</v>
      </c>
    </row>
    <row r="47" spans="1:34" x14ac:dyDescent="0.45">
      <c r="C47" s="33">
        <v>-21.4</v>
      </c>
      <c r="D47" s="33">
        <v>-6.5</v>
      </c>
      <c r="E47" s="33">
        <v>-21.4</v>
      </c>
      <c r="F47" s="33">
        <v>21.6</v>
      </c>
      <c r="G47" s="33">
        <v>12</v>
      </c>
      <c r="H47" s="33">
        <v>21.6</v>
      </c>
      <c r="I47" s="34"/>
      <c r="AC47" s="10">
        <f>AC46+AF33</f>
        <v>6.750243366097112</v>
      </c>
      <c r="AD47" s="10">
        <f>AD46+AG33</f>
        <v>25.681155550916426</v>
      </c>
    </row>
    <row r="48" spans="1:34" x14ac:dyDescent="0.45">
      <c r="C48" s="33">
        <v>9.5</v>
      </c>
      <c r="D48" s="33">
        <v>0</v>
      </c>
      <c r="E48" s="33">
        <v>9.5</v>
      </c>
      <c r="F48" s="33">
        <v>10</v>
      </c>
      <c r="G48" s="33">
        <v>0</v>
      </c>
      <c r="H48" s="33">
        <v>10</v>
      </c>
      <c r="I48" s="34"/>
    </row>
    <row r="49" spans="3:30" x14ac:dyDescent="0.45">
      <c r="C49" s="33">
        <v>1</v>
      </c>
      <c r="D49" s="33">
        <v>0</v>
      </c>
      <c r="E49" s="33">
        <v>-1</v>
      </c>
      <c r="F49" s="33">
        <v>-1</v>
      </c>
      <c r="G49" s="33">
        <v>0</v>
      </c>
      <c r="H49" s="33">
        <v>1</v>
      </c>
      <c r="I49" s="34"/>
      <c r="AB49">
        <v>3</v>
      </c>
      <c r="AC49" s="10">
        <f>AC34</f>
        <v>-9</v>
      </c>
      <c r="AD49" s="10">
        <f>AD34</f>
        <v>19.5</v>
      </c>
    </row>
    <row r="50" spans="3:30" x14ac:dyDescent="0.45">
      <c r="C50" s="33">
        <v>-1</v>
      </c>
      <c r="D50" s="33">
        <v>0</v>
      </c>
      <c r="E50" s="33">
        <v>-1</v>
      </c>
      <c r="F50" s="33">
        <v>1</v>
      </c>
      <c r="G50" s="33">
        <v>0</v>
      </c>
      <c r="H50" s="33">
        <v>1</v>
      </c>
      <c r="I50" s="34"/>
      <c r="AC50" s="10">
        <f>AC49+AF34</f>
        <v>-6.7502433660971111</v>
      </c>
      <c r="AD50" s="10">
        <f>AD49+AG34</f>
        <v>25.681155550916422</v>
      </c>
    </row>
    <row r="51" spans="3:30" x14ac:dyDescent="0.45">
      <c r="C51" s="33">
        <v>-0.2</v>
      </c>
      <c r="D51" s="33">
        <v>-1</v>
      </c>
      <c r="E51" s="33">
        <v>-0.2</v>
      </c>
      <c r="F51" s="33">
        <v>-0.2</v>
      </c>
      <c r="G51" s="33">
        <v>-1</v>
      </c>
      <c r="H51" s="33">
        <v>-0.2</v>
      </c>
      <c r="I51" s="34"/>
      <c r="O51" s="10"/>
      <c r="P51" s="10"/>
      <c r="Q51" s="10"/>
      <c r="R51" s="10"/>
      <c r="S51" s="10"/>
      <c r="T51" s="10"/>
    </row>
    <row r="52" spans="3:30" x14ac:dyDescent="0.45">
      <c r="C52" s="33"/>
      <c r="D52" s="33"/>
      <c r="E52" s="33"/>
      <c r="F52" s="33"/>
      <c r="G52" s="33"/>
      <c r="H52" s="33"/>
      <c r="I52" s="34"/>
      <c r="O52" s="10"/>
      <c r="P52" s="10"/>
      <c r="Q52" s="10"/>
      <c r="R52" s="10"/>
      <c r="S52" s="10"/>
      <c r="T52" s="10"/>
      <c r="AB52">
        <v>4</v>
      </c>
      <c r="AC52" s="10">
        <f>AC35</f>
        <v>-9</v>
      </c>
      <c r="AD52" s="10">
        <f>AD35</f>
        <v>-19.5</v>
      </c>
    </row>
    <row r="53" spans="3:30" x14ac:dyDescent="0.45">
      <c r="O53" s="10"/>
      <c r="P53" s="10"/>
      <c r="Q53" s="10"/>
      <c r="R53" s="10"/>
      <c r="S53" s="10"/>
      <c r="T53" s="10"/>
      <c r="AC53" s="10">
        <f>AC52+AF35</f>
        <v>-11.249756633902887</v>
      </c>
      <c r="AD53" s="10">
        <f>AD52+AG35</f>
        <v>-13.318844449083576</v>
      </c>
    </row>
    <row r="54" spans="3:30" x14ac:dyDescent="0.45">
      <c r="O54" s="10"/>
      <c r="P54" s="10"/>
      <c r="Q54" s="10"/>
      <c r="R54" s="10"/>
      <c r="S54" s="10"/>
      <c r="T54" s="10"/>
    </row>
    <row r="55" spans="3:30" x14ac:dyDescent="0.45">
      <c r="C55" t="s">
        <v>118</v>
      </c>
      <c r="O55" s="10"/>
      <c r="P55" s="10"/>
      <c r="Q55" s="10"/>
      <c r="R55" s="10"/>
      <c r="S55" s="10"/>
      <c r="T55" s="10"/>
      <c r="AB55">
        <v>5</v>
      </c>
      <c r="AC55" s="10">
        <f>AC36</f>
        <v>0</v>
      </c>
      <c r="AD55" s="10">
        <f>AD36</f>
        <v>19.5</v>
      </c>
    </row>
    <row r="56" spans="3:30" x14ac:dyDescent="0.45">
      <c r="C56">
        <f t="array" ref="C56:C61">MMULT(MINVERSE(C21:H26),O21:O26)</f>
        <v>0.35</v>
      </c>
      <c r="O56" s="10"/>
      <c r="P56" s="10"/>
      <c r="Q56" s="10"/>
      <c r="R56" s="10"/>
      <c r="S56" s="10"/>
      <c r="T56" s="10"/>
      <c r="AC56" s="10">
        <f>AC55+AF36</f>
        <v>0</v>
      </c>
      <c r="AD56" s="10">
        <f>AD55+AG36</f>
        <v>19.5</v>
      </c>
    </row>
    <row r="57" spans="3:30" x14ac:dyDescent="0.45">
      <c r="C57">
        <v>0.35000000000000003</v>
      </c>
    </row>
    <row r="58" spans="3:30" x14ac:dyDescent="0.45">
      <c r="C58">
        <v>0.35</v>
      </c>
      <c r="O58" s="93"/>
      <c r="P58" s="93"/>
      <c r="Q58" s="93"/>
      <c r="R58" s="93"/>
      <c r="S58" s="93"/>
      <c r="T58" s="93"/>
      <c r="W58" s="94"/>
      <c r="AB58">
        <v>6</v>
      </c>
      <c r="AC58" s="10">
        <f>AC37</f>
        <v>0</v>
      </c>
      <c r="AD58" s="10">
        <f>AD37</f>
        <v>-19.5</v>
      </c>
    </row>
    <row r="59" spans="3:30" x14ac:dyDescent="0.45">
      <c r="C59">
        <v>0.35000000000000003</v>
      </c>
      <c r="O59" s="93"/>
      <c r="P59" s="93"/>
      <c r="Q59" s="93"/>
      <c r="R59" s="93"/>
      <c r="S59" s="93"/>
      <c r="T59" s="93"/>
      <c r="W59" s="94"/>
      <c r="AC59" s="10">
        <f>AC58+AF37</f>
        <v>0</v>
      </c>
      <c r="AD59" s="10">
        <f>AD58+AG37</f>
        <v>-19.5</v>
      </c>
    </row>
    <row r="60" spans="3:30" x14ac:dyDescent="0.45">
      <c r="C60">
        <v>0</v>
      </c>
      <c r="O60" s="93"/>
      <c r="P60" s="93"/>
      <c r="Q60" s="93"/>
      <c r="R60" s="93"/>
      <c r="S60" s="93"/>
      <c r="T60" s="93"/>
      <c r="W60" s="94"/>
    </row>
    <row r="61" spans="3:30" x14ac:dyDescent="0.45">
      <c r="C61">
        <v>0</v>
      </c>
      <c r="O61" s="93"/>
      <c r="P61" s="93"/>
      <c r="Q61" s="93"/>
      <c r="R61" s="93"/>
      <c r="S61" s="93"/>
      <c r="T61" s="93"/>
      <c r="W61" s="94"/>
    </row>
    <row r="62" spans="3:30" x14ac:dyDescent="0.45">
      <c r="O62" s="93"/>
      <c r="P62" s="93"/>
      <c r="Q62" s="93"/>
      <c r="R62" s="93"/>
      <c r="S62" s="93"/>
      <c r="T62" s="93"/>
      <c r="W62" s="94"/>
    </row>
    <row r="63" spans="3:30" x14ac:dyDescent="0.45">
      <c r="O63" s="93"/>
      <c r="P63" s="93"/>
      <c r="Q63" s="93"/>
      <c r="R63" s="93"/>
      <c r="S63" s="93"/>
      <c r="T63" s="93"/>
      <c r="W63" s="94"/>
    </row>
  </sheetData>
  <mergeCells count="6">
    <mergeCell ref="C8:H8"/>
    <mergeCell ref="M33:M38"/>
    <mergeCell ref="AA19:AC19"/>
    <mergeCell ref="AD19:AF19"/>
    <mergeCell ref="AC30:AE30"/>
    <mergeCell ref="AF30:AH30"/>
  </mergeCells>
  <dataValidations count="2">
    <dataValidation type="list" allowBlank="1" showInputMessage="1" showErrorMessage="1" sqref="D30" xr:uid="{00000000-0002-0000-0000-000000000000}">
      <formula1>"1,2,3,4,5,6"</formula1>
    </dataValidation>
    <dataValidation type="list" allowBlank="1" showInputMessage="1" showErrorMessage="1" sqref="E4" xr:uid="{4099AB12-3FE4-424D-86EA-6818F23329FB}">
      <formula1>"X,Y"</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T75"/>
  <sheetViews>
    <sheetView zoomScale="85" zoomScaleNormal="85" workbookViewId="0">
      <selection activeCell="O23" sqref="O23"/>
    </sheetView>
  </sheetViews>
  <sheetFormatPr defaultRowHeight="14.25" x14ac:dyDescent="0.45"/>
  <cols>
    <col min="3" max="5" width="7.59765625" customWidth="1"/>
    <col min="6" max="6" width="14.59765625" customWidth="1"/>
    <col min="7" max="7" width="4.46484375" customWidth="1"/>
  </cols>
  <sheetData>
    <row r="3" spans="2:20" x14ac:dyDescent="0.45">
      <c r="B3" s="3" t="s">
        <v>95</v>
      </c>
      <c r="H3" s="3" t="s">
        <v>102</v>
      </c>
      <c r="N3" s="3" t="s">
        <v>111</v>
      </c>
      <c r="O3" s="3"/>
      <c r="T3" s="3" t="s">
        <v>101</v>
      </c>
    </row>
    <row r="4" spans="2:20" ht="14.65" thickBot="1" x14ac:dyDescent="0.5">
      <c r="B4" t="s">
        <v>104</v>
      </c>
    </row>
    <row r="5" spans="2:20" ht="14.65" thickBot="1" x14ac:dyDescent="0.5">
      <c r="B5" s="73" t="s">
        <v>96</v>
      </c>
      <c r="C5" s="74" t="s">
        <v>56</v>
      </c>
      <c r="D5" s="74" t="s">
        <v>57</v>
      </c>
      <c r="E5" s="74" t="s">
        <v>58</v>
      </c>
      <c r="F5" s="75" t="s">
        <v>109</v>
      </c>
      <c r="H5" s="73" t="s">
        <v>97</v>
      </c>
      <c r="I5" s="74" t="s">
        <v>98</v>
      </c>
      <c r="J5" s="74" t="s">
        <v>99</v>
      </c>
      <c r="K5" s="74" t="s">
        <v>103</v>
      </c>
      <c r="L5" s="75" t="s">
        <v>100</v>
      </c>
      <c r="N5" s="67" t="s">
        <v>110</v>
      </c>
      <c r="O5" s="67" t="s">
        <v>96</v>
      </c>
      <c r="P5" s="67" t="s">
        <v>56</v>
      </c>
      <c r="Q5" s="67" t="s">
        <v>57</v>
      </c>
      <c r="R5" s="67" t="s">
        <v>58</v>
      </c>
    </row>
    <row r="6" spans="2:20" x14ac:dyDescent="0.45">
      <c r="B6" s="71">
        <v>1</v>
      </c>
      <c r="C6" s="76">
        <v>-11</v>
      </c>
      <c r="D6" s="76">
        <v>7</v>
      </c>
      <c r="E6" s="76">
        <v>2</v>
      </c>
      <c r="F6" s="77"/>
      <c r="H6" s="97">
        <v>1</v>
      </c>
      <c r="I6" s="98">
        <v>7</v>
      </c>
      <c r="J6" s="98">
        <v>8</v>
      </c>
      <c r="K6" s="98" t="s">
        <v>112</v>
      </c>
      <c r="L6" s="77"/>
      <c r="N6">
        <v>1</v>
      </c>
      <c r="O6">
        <v>1</v>
      </c>
      <c r="P6">
        <v>1</v>
      </c>
      <c r="Q6">
        <v>1</v>
      </c>
    </row>
    <row r="7" spans="2:20" x14ac:dyDescent="0.45">
      <c r="B7" s="68">
        <v>2</v>
      </c>
      <c r="C7" s="78">
        <v>-12</v>
      </c>
      <c r="D7" s="78">
        <v>0</v>
      </c>
      <c r="E7" s="78">
        <v>0</v>
      </c>
      <c r="F7" s="79"/>
      <c r="H7" s="95">
        <v>2</v>
      </c>
      <c r="I7" s="99">
        <v>8</v>
      </c>
      <c r="J7" s="99">
        <v>9</v>
      </c>
      <c r="K7" s="99" t="s">
        <v>112</v>
      </c>
      <c r="L7" s="79"/>
      <c r="N7">
        <v>2</v>
      </c>
      <c r="O7">
        <v>2</v>
      </c>
    </row>
    <row r="8" spans="2:20" x14ac:dyDescent="0.45">
      <c r="B8" s="68">
        <v>3</v>
      </c>
      <c r="C8" s="78">
        <v>-11</v>
      </c>
      <c r="D8" s="78">
        <v>-7</v>
      </c>
      <c r="E8" s="78">
        <v>2</v>
      </c>
      <c r="F8" s="79"/>
      <c r="H8" s="95">
        <v>3</v>
      </c>
      <c r="I8" s="99">
        <v>9</v>
      </c>
      <c r="J8" s="99">
        <v>10</v>
      </c>
      <c r="K8" s="99" t="s">
        <v>112</v>
      </c>
      <c r="L8" s="79"/>
      <c r="N8">
        <v>3</v>
      </c>
      <c r="O8">
        <v>3</v>
      </c>
    </row>
    <row r="9" spans="2:20" x14ac:dyDescent="0.45">
      <c r="B9" s="68">
        <v>4</v>
      </c>
      <c r="C9" s="78">
        <v>11</v>
      </c>
      <c r="D9" s="78">
        <v>-7</v>
      </c>
      <c r="E9" s="78">
        <v>2</v>
      </c>
      <c r="F9" s="79"/>
      <c r="H9" s="95">
        <v>4</v>
      </c>
      <c r="I9" s="99">
        <v>10</v>
      </c>
      <c r="J9" s="99">
        <v>11</v>
      </c>
      <c r="K9" s="99" t="s">
        <v>112</v>
      </c>
      <c r="L9" s="79"/>
      <c r="N9">
        <v>4</v>
      </c>
      <c r="O9">
        <v>4</v>
      </c>
    </row>
    <row r="10" spans="2:20" x14ac:dyDescent="0.45">
      <c r="B10" s="68">
        <v>5</v>
      </c>
      <c r="C10" s="78">
        <v>7</v>
      </c>
      <c r="D10" s="78">
        <v>0</v>
      </c>
      <c r="E10" s="78">
        <v>0</v>
      </c>
      <c r="F10" s="79"/>
      <c r="H10" s="95">
        <v>5</v>
      </c>
      <c r="I10" s="99">
        <v>11</v>
      </c>
      <c r="J10" s="99">
        <v>12</v>
      </c>
      <c r="K10" s="99" t="s">
        <v>112</v>
      </c>
      <c r="L10" s="79"/>
      <c r="N10">
        <v>5</v>
      </c>
      <c r="O10">
        <v>5</v>
      </c>
    </row>
    <row r="11" spans="2:20" x14ac:dyDescent="0.45">
      <c r="B11" s="68">
        <v>6</v>
      </c>
      <c r="C11" s="78">
        <v>11</v>
      </c>
      <c r="D11" s="78">
        <v>7</v>
      </c>
      <c r="E11" s="78">
        <v>2</v>
      </c>
      <c r="F11" s="79"/>
      <c r="H11" s="95">
        <v>6</v>
      </c>
      <c r="I11" s="99">
        <v>12</v>
      </c>
      <c r="J11" s="99">
        <v>13</v>
      </c>
      <c r="K11" s="99" t="s">
        <v>112</v>
      </c>
      <c r="L11" s="79"/>
      <c r="N11">
        <v>6</v>
      </c>
      <c r="O11">
        <v>6</v>
      </c>
    </row>
    <row r="12" spans="2:20" x14ac:dyDescent="0.45">
      <c r="B12" s="68">
        <v>7</v>
      </c>
      <c r="C12" s="78">
        <v>-9</v>
      </c>
      <c r="D12" s="78">
        <v>5</v>
      </c>
      <c r="E12" s="78">
        <v>0</v>
      </c>
      <c r="F12" s="79" t="s">
        <v>105</v>
      </c>
      <c r="H12" s="95">
        <v>7</v>
      </c>
      <c r="I12" s="99">
        <v>13</v>
      </c>
      <c r="J12" s="99">
        <v>14</v>
      </c>
      <c r="K12" s="99" t="s">
        <v>112</v>
      </c>
      <c r="L12" s="79"/>
    </row>
    <row r="13" spans="2:20" x14ac:dyDescent="0.45">
      <c r="B13" s="68">
        <v>8</v>
      </c>
      <c r="C13" s="78">
        <v>-9</v>
      </c>
      <c r="D13" s="78">
        <v>0</v>
      </c>
      <c r="E13" s="78">
        <v>0</v>
      </c>
      <c r="F13" s="79"/>
      <c r="H13" s="95">
        <v>8</v>
      </c>
      <c r="I13" s="99">
        <v>14</v>
      </c>
      <c r="J13" s="99">
        <v>15</v>
      </c>
      <c r="K13" s="99" t="s">
        <v>112</v>
      </c>
      <c r="L13" s="79"/>
    </row>
    <row r="14" spans="2:20" x14ac:dyDescent="0.45">
      <c r="B14" s="68">
        <v>9</v>
      </c>
      <c r="C14" s="78">
        <v>-9</v>
      </c>
      <c r="D14" s="78">
        <v>-5</v>
      </c>
      <c r="E14" s="78">
        <v>0</v>
      </c>
      <c r="F14" s="79" t="s">
        <v>106</v>
      </c>
      <c r="H14" s="95">
        <v>9</v>
      </c>
      <c r="I14" s="99">
        <v>15</v>
      </c>
      <c r="J14" s="99">
        <v>16</v>
      </c>
      <c r="K14" s="99" t="s">
        <v>112</v>
      </c>
      <c r="L14" s="79"/>
    </row>
    <row r="15" spans="2:20" x14ac:dyDescent="0.45">
      <c r="B15" s="68">
        <v>10</v>
      </c>
      <c r="C15" s="78">
        <v>-4</v>
      </c>
      <c r="D15" s="78">
        <v>-5</v>
      </c>
      <c r="E15" s="78">
        <v>0</v>
      </c>
      <c r="F15" s="79"/>
      <c r="H15" s="95">
        <v>10</v>
      </c>
      <c r="I15" s="99">
        <v>16</v>
      </c>
      <c r="J15" s="99">
        <v>7</v>
      </c>
      <c r="K15" s="99" t="s">
        <v>112</v>
      </c>
      <c r="L15" s="79"/>
    </row>
    <row r="16" spans="2:20" x14ac:dyDescent="0.45">
      <c r="B16" s="68">
        <v>11</v>
      </c>
      <c r="C16" s="78">
        <v>4</v>
      </c>
      <c r="D16" s="78">
        <v>-5</v>
      </c>
      <c r="E16" s="78">
        <v>0</v>
      </c>
      <c r="F16" s="79"/>
      <c r="H16" s="95">
        <v>11</v>
      </c>
      <c r="I16" s="99">
        <v>10</v>
      </c>
      <c r="J16" s="99">
        <v>17</v>
      </c>
      <c r="K16" s="99" t="s">
        <v>112</v>
      </c>
      <c r="L16" s="79"/>
    </row>
    <row r="17" spans="2:12" x14ac:dyDescent="0.45">
      <c r="B17" s="68">
        <v>12</v>
      </c>
      <c r="C17" s="78">
        <v>9</v>
      </c>
      <c r="D17" s="78">
        <v>-5</v>
      </c>
      <c r="E17" s="78">
        <v>0</v>
      </c>
      <c r="F17" s="79" t="s">
        <v>107</v>
      </c>
      <c r="H17" s="95">
        <v>12</v>
      </c>
      <c r="I17" s="99">
        <v>11</v>
      </c>
      <c r="J17" s="99">
        <v>18</v>
      </c>
      <c r="K17" s="99" t="s">
        <v>112</v>
      </c>
      <c r="L17" s="79"/>
    </row>
    <row r="18" spans="2:12" x14ac:dyDescent="0.45">
      <c r="B18" s="68">
        <v>13</v>
      </c>
      <c r="C18" s="78">
        <v>9</v>
      </c>
      <c r="D18" s="78">
        <v>0</v>
      </c>
      <c r="E18" s="78">
        <v>0</v>
      </c>
      <c r="F18" s="79"/>
      <c r="H18" s="95">
        <v>13</v>
      </c>
      <c r="I18" s="99">
        <v>15</v>
      </c>
      <c r="J18" s="99">
        <v>19</v>
      </c>
      <c r="K18" s="99" t="s">
        <v>112</v>
      </c>
      <c r="L18" s="79"/>
    </row>
    <row r="19" spans="2:12" x14ac:dyDescent="0.45">
      <c r="B19" s="68">
        <v>14</v>
      </c>
      <c r="C19" s="78">
        <v>9</v>
      </c>
      <c r="D19" s="78">
        <v>5</v>
      </c>
      <c r="E19" s="78">
        <v>0</v>
      </c>
      <c r="F19" s="79" t="s">
        <v>108</v>
      </c>
      <c r="H19" s="95">
        <v>14</v>
      </c>
      <c r="I19" s="99">
        <v>16</v>
      </c>
      <c r="J19" s="99">
        <v>20</v>
      </c>
      <c r="K19" s="99" t="s">
        <v>112</v>
      </c>
      <c r="L19" s="79"/>
    </row>
    <row r="20" spans="2:12" x14ac:dyDescent="0.45">
      <c r="B20" s="68">
        <v>15</v>
      </c>
      <c r="C20" s="78">
        <v>4</v>
      </c>
      <c r="D20" s="78">
        <v>5</v>
      </c>
      <c r="E20" s="78">
        <v>0</v>
      </c>
      <c r="F20" s="79"/>
      <c r="H20" s="95">
        <v>15</v>
      </c>
      <c r="I20" s="99">
        <v>7</v>
      </c>
      <c r="J20" s="99">
        <v>1</v>
      </c>
      <c r="K20" s="99" t="s">
        <v>112</v>
      </c>
      <c r="L20" s="79"/>
    </row>
    <row r="21" spans="2:12" x14ac:dyDescent="0.45">
      <c r="B21" s="68">
        <v>16</v>
      </c>
      <c r="C21" s="78">
        <v>-4</v>
      </c>
      <c r="D21" s="78">
        <v>5</v>
      </c>
      <c r="E21" s="78">
        <v>0</v>
      </c>
      <c r="F21" s="79"/>
      <c r="H21" s="95">
        <v>16</v>
      </c>
      <c r="I21" s="99">
        <v>8</v>
      </c>
      <c r="J21" s="99">
        <v>2</v>
      </c>
      <c r="K21" s="99" t="s">
        <v>112</v>
      </c>
      <c r="L21" s="79"/>
    </row>
    <row r="22" spans="2:12" x14ac:dyDescent="0.45">
      <c r="B22" s="68">
        <v>17</v>
      </c>
      <c r="C22" s="78">
        <v>-4</v>
      </c>
      <c r="D22" s="78">
        <v>-2</v>
      </c>
      <c r="E22" s="78">
        <v>3</v>
      </c>
      <c r="F22" s="79"/>
      <c r="H22" s="95">
        <v>17</v>
      </c>
      <c r="I22" s="99">
        <v>9</v>
      </c>
      <c r="J22" s="99">
        <v>3</v>
      </c>
      <c r="K22" s="99" t="s">
        <v>112</v>
      </c>
      <c r="L22" s="79"/>
    </row>
    <row r="23" spans="2:12" x14ac:dyDescent="0.45">
      <c r="B23" s="68">
        <v>18</v>
      </c>
      <c r="C23" s="78">
        <v>4</v>
      </c>
      <c r="D23" s="78">
        <v>-2</v>
      </c>
      <c r="E23" s="78">
        <v>3</v>
      </c>
      <c r="F23" s="79"/>
      <c r="H23" s="95">
        <v>18</v>
      </c>
      <c r="I23" s="99">
        <v>12</v>
      </c>
      <c r="J23" s="99">
        <v>4</v>
      </c>
      <c r="K23" s="99" t="s">
        <v>112</v>
      </c>
      <c r="L23" s="79"/>
    </row>
    <row r="24" spans="2:12" x14ac:dyDescent="0.45">
      <c r="B24" s="68">
        <v>19</v>
      </c>
      <c r="C24" s="78">
        <v>4</v>
      </c>
      <c r="D24" s="78">
        <v>2</v>
      </c>
      <c r="E24" s="78">
        <v>3</v>
      </c>
      <c r="F24" s="79"/>
      <c r="H24" s="95">
        <v>19</v>
      </c>
      <c r="I24" s="99">
        <v>13</v>
      </c>
      <c r="J24" s="99">
        <v>5</v>
      </c>
      <c r="K24" s="99" t="s">
        <v>112</v>
      </c>
      <c r="L24" s="79"/>
    </row>
    <row r="25" spans="2:12" x14ac:dyDescent="0.45">
      <c r="B25" s="68">
        <v>20</v>
      </c>
      <c r="C25" s="78">
        <v>-4</v>
      </c>
      <c r="D25" s="78">
        <v>2</v>
      </c>
      <c r="E25" s="78">
        <v>3</v>
      </c>
      <c r="F25" s="79"/>
      <c r="H25" s="95">
        <v>20</v>
      </c>
      <c r="I25" s="99">
        <v>14</v>
      </c>
      <c r="J25" s="99">
        <v>6</v>
      </c>
      <c r="K25" s="99" t="s">
        <v>112</v>
      </c>
      <c r="L25" s="79"/>
    </row>
    <row r="26" spans="2:12" x14ac:dyDescent="0.45">
      <c r="B26" s="68">
        <v>21</v>
      </c>
      <c r="C26" s="78"/>
      <c r="D26" s="78"/>
      <c r="E26" s="78"/>
      <c r="F26" s="79"/>
      <c r="H26" s="95">
        <v>21</v>
      </c>
      <c r="I26" s="99"/>
      <c r="J26" s="99"/>
      <c r="K26" s="99"/>
      <c r="L26" s="79"/>
    </row>
    <row r="27" spans="2:12" x14ac:dyDescent="0.45">
      <c r="B27" s="68">
        <v>22</v>
      </c>
      <c r="C27" s="78"/>
      <c r="D27" s="78"/>
      <c r="E27" s="78"/>
      <c r="F27" s="79"/>
      <c r="H27" s="95">
        <v>22</v>
      </c>
      <c r="I27" s="99"/>
      <c r="J27" s="99"/>
      <c r="K27" s="99"/>
      <c r="L27" s="79"/>
    </row>
    <row r="28" spans="2:12" x14ac:dyDescent="0.45">
      <c r="B28" s="68">
        <v>23</v>
      </c>
      <c r="C28" s="78"/>
      <c r="D28" s="78"/>
      <c r="E28" s="78"/>
      <c r="F28" s="79"/>
      <c r="H28" s="95">
        <v>23</v>
      </c>
      <c r="I28" s="99"/>
      <c r="J28" s="99"/>
      <c r="K28" s="99"/>
      <c r="L28" s="79"/>
    </row>
    <row r="29" spans="2:12" x14ac:dyDescent="0.45">
      <c r="B29" s="68">
        <v>24</v>
      </c>
      <c r="C29" s="78"/>
      <c r="D29" s="78"/>
      <c r="E29" s="78"/>
      <c r="F29" s="79"/>
      <c r="H29" s="95">
        <v>24</v>
      </c>
      <c r="I29" s="99"/>
      <c r="J29" s="99"/>
      <c r="K29" s="99"/>
      <c r="L29" s="79"/>
    </row>
    <row r="30" spans="2:12" x14ac:dyDescent="0.45">
      <c r="B30" s="68">
        <v>25</v>
      </c>
      <c r="C30" s="78"/>
      <c r="D30" s="78"/>
      <c r="E30" s="78"/>
      <c r="F30" s="79"/>
      <c r="H30" s="95">
        <v>25</v>
      </c>
      <c r="I30" s="99"/>
      <c r="J30" s="99"/>
      <c r="K30" s="99"/>
      <c r="L30" s="79"/>
    </row>
    <row r="31" spans="2:12" x14ac:dyDescent="0.45">
      <c r="B31" s="68">
        <v>26</v>
      </c>
      <c r="C31" s="78"/>
      <c r="D31" s="78"/>
      <c r="E31" s="78"/>
      <c r="F31" s="79"/>
      <c r="H31" s="95">
        <v>26</v>
      </c>
      <c r="I31" s="99"/>
      <c r="J31" s="99"/>
      <c r="K31" s="99"/>
      <c r="L31" s="79"/>
    </row>
    <row r="32" spans="2:12" x14ac:dyDescent="0.45">
      <c r="B32" s="68">
        <v>27</v>
      </c>
      <c r="C32" s="78"/>
      <c r="D32" s="78"/>
      <c r="E32" s="78"/>
      <c r="F32" s="79"/>
      <c r="H32" s="95">
        <v>27</v>
      </c>
      <c r="I32" s="99"/>
      <c r="J32" s="99"/>
      <c r="K32" s="99"/>
      <c r="L32" s="79"/>
    </row>
    <row r="33" spans="2:12" x14ac:dyDescent="0.45">
      <c r="B33" s="68">
        <v>28</v>
      </c>
      <c r="C33" s="78"/>
      <c r="D33" s="78"/>
      <c r="E33" s="78"/>
      <c r="F33" s="79"/>
      <c r="H33" s="95">
        <v>28</v>
      </c>
      <c r="I33" s="99"/>
      <c r="J33" s="99"/>
      <c r="K33" s="99"/>
      <c r="L33" s="79"/>
    </row>
    <row r="34" spans="2:12" x14ac:dyDescent="0.45">
      <c r="B34" s="68">
        <v>29</v>
      </c>
      <c r="C34" s="78"/>
      <c r="D34" s="78"/>
      <c r="E34" s="78"/>
      <c r="F34" s="79"/>
      <c r="H34" s="95">
        <v>29</v>
      </c>
      <c r="I34" s="99"/>
      <c r="J34" s="99"/>
      <c r="K34" s="99"/>
      <c r="L34" s="79"/>
    </row>
    <row r="35" spans="2:12" x14ac:dyDescent="0.45">
      <c r="B35" s="68">
        <v>30</v>
      </c>
      <c r="C35" s="78"/>
      <c r="D35" s="78"/>
      <c r="E35" s="78"/>
      <c r="F35" s="79"/>
      <c r="H35" s="95">
        <v>30</v>
      </c>
      <c r="I35" s="99"/>
      <c r="J35" s="99"/>
      <c r="K35" s="99"/>
      <c r="L35" s="79"/>
    </row>
    <row r="36" spans="2:12" x14ac:dyDescent="0.45">
      <c r="B36" s="68">
        <v>31</v>
      </c>
      <c r="C36" s="78"/>
      <c r="D36" s="78"/>
      <c r="E36" s="78"/>
      <c r="F36" s="79"/>
      <c r="H36" s="95">
        <v>31</v>
      </c>
      <c r="I36" s="99"/>
      <c r="J36" s="99"/>
      <c r="K36" s="99"/>
      <c r="L36" s="79"/>
    </row>
    <row r="37" spans="2:12" x14ac:dyDescent="0.45">
      <c r="B37" s="68">
        <v>32</v>
      </c>
      <c r="C37" s="78"/>
      <c r="D37" s="78"/>
      <c r="E37" s="78"/>
      <c r="F37" s="79"/>
      <c r="H37" s="95">
        <v>32</v>
      </c>
      <c r="I37" s="99"/>
      <c r="J37" s="99"/>
      <c r="K37" s="99"/>
      <c r="L37" s="79"/>
    </row>
    <row r="38" spans="2:12" x14ac:dyDescent="0.45">
      <c r="B38" s="68">
        <v>33</v>
      </c>
      <c r="C38" s="78"/>
      <c r="D38" s="78"/>
      <c r="E38" s="78"/>
      <c r="F38" s="79"/>
      <c r="H38" s="95">
        <v>33</v>
      </c>
      <c r="I38" s="99"/>
      <c r="J38" s="99"/>
      <c r="K38" s="99"/>
      <c r="L38" s="79"/>
    </row>
    <row r="39" spans="2:12" x14ac:dyDescent="0.45">
      <c r="B39" s="68">
        <v>34</v>
      </c>
      <c r="C39" s="78"/>
      <c r="D39" s="78"/>
      <c r="E39" s="78"/>
      <c r="F39" s="79"/>
      <c r="H39" s="95">
        <v>34</v>
      </c>
      <c r="I39" s="99"/>
      <c r="J39" s="99"/>
      <c r="K39" s="99"/>
      <c r="L39" s="79"/>
    </row>
    <row r="40" spans="2:12" x14ac:dyDescent="0.45">
      <c r="B40" s="68">
        <v>35</v>
      </c>
      <c r="C40" s="78"/>
      <c r="D40" s="78"/>
      <c r="E40" s="78"/>
      <c r="F40" s="79"/>
      <c r="H40" s="95">
        <v>35</v>
      </c>
      <c r="I40" s="99"/>
      <c r="J40" s="99"/>
      <c r="K40" s="99"/>
      <c r="L40" s="79"/>
    </row>
    <row r="41" spans="2:12" x14ac:dyDescent="0.45">
      <c r="B41" s="68">
        <v>36</v>
      </c>
      <c r="C41" s="78"/>
      <c r="D41" s="78"/>
      <c r="E41" s="78"/>
      <c r="F41" s="79"/>
      <c r="H41" s="95">
        <v>36</v>
      </c>
      <c r="I41" s="99"/>
      <c r="J41" s="99"/>
      <c r="K41" s="99"/>
      <c r="L41" s="79"/>
    </row>
    <row r="42" spans="2:12" x14ac:dyDescent="0.45">
      <c r="B42" s="68">
        <v>37</v>
      </c>
      <c r="C42" s="78"/>
      <c r="D42" s="78"/>
      <c r="E42" s="78"/>
      <c r="F42" s="79"/>
      <c r="H42" s="95">
        <v>37</v>
      </c>
      <c r="I42" s="99"/>
      <c r="J42" s="99"/>
      <c r="K42" s="99"/>
      <c r="L42" s="79"/>
    </row>
    <row r="43" spans="2:12" x14ac:dyDescent="0.45">
      <c r="B43" s="68">
        <v>38</v>
      </c>
      <c r="C43" s="78"/>
      <c r="D43" s="78"/>
      <c r="E43" s="78"/>
      <c r="F43" s="79"/>
      <c r="H43" s="95">
        <v>38</v>
      </c>
      <c r="I43" s="99"/>
      <c r="J43" s="99"/>
      <c r="K43" s="99"/>
      <c r="L43" s="79"/>
    </row>
    <row r="44" spans="2:12" x14ac:dyDescent="0.45">
      <c r="B44" s="68">
        <v>39</v>
      </c>
      <c r="C44" s="78"/>
      <c r="D44" s="78"/>
      <c r="E44" s="78"/>
      <c r="F44" s="79"/>
      <c r="H44" s="95">
        <v>39</v>
      </c>
      <c r="I44" s="99"/>
      <c r="J44" s="99"/>
      <c r="K44" s="99"/>
      <c r="L44" s="79"/>
    </row>
    <row r="45" spans="2:12" ht="14.65" thickBot="1" x14ac:dyDescent="0.5">
      <c r="B45" s="70">
        <v>40</v>
      </c>
      <c r="C45" s="80"/>
      <c r="D45" s="80"/>
      <c r="E45" s="80"/>
      <c r="F45" s="81"/>
      <c r="H45" s="95">
        <v>40</v>
      </c>
      <c r="I45" s="99"/>
      <c r="J45" s="99"/>
      <c r="K45" s="99"/>
      <c r="L45" s="79"/>
    </row>
    <row r="46" spans="2:12" x14ac:dyDescent="0.45">
      <c r="H46" s="95">
        <v>41</v>
      </c>
      <c r="I46" s="99"/>
      <c r="J46" s="99"/>
      <c r="K46" s="99"/>
      <c r="L46" s="79"/>
    </row>
    <row r="47" spans="2:12" x14ac:dyDescent="0.45">
      <c r="H47" s="95">
        <v>42</v>
      </c>
      <c r="I47" s="99"/>
      <c r="J47" s="99"/>
      <c r="K47" s="99"/>
      <c r="L47" s="79"/>
    </row>
    <row r="48" spans="2:12" x14ac:dyDescent="0.45">
      <c r="H48" s="95">
        <v>43</v>
      </c>
      <c r="I48" s="99"/>
      <c r="J48" s="99"/>
      <c r="K48" s="99"/>
      <c r="L48" s="79"/>
    </row>
    <row r="49" spans="8:12" x14ac:dyDescent="0.45">
      <c r="H49" s="95">
        <v>44</v>
      </c>
      <c r="I49" s="99"/>
      <c r="J49" s="99"/>
      <c r="K49" s="99"/>
      <c r="L49" s="79"/>
    </row>
    <row r="50" spans="8:12" x14ac:dyDescent="0.45">
      <c r="H50" s="95">
        <v>45</v>
      </c>
      <c r="I50" s="99"/>
      <c r="J50" s="99"/>
      <c r="K50" s="99"/>
      <c r="L50" s="79"/>
    </row>
    <row r="51" spans="8:12" x14ac:dyDescent="0.45">
      <c r="H51" s="95">
        <v>46</v>
      </c>
      <c r="I51" s="99"/>
      <c r="J51" s="99"/>
      <c r="K51" s="99"/>
      <c r="L51" s="79"/>
    </row>
    <row r="52" spans="8:12" x14ac:dyDescent="0.45">
      <c r="H52" s="95">
        <v>47</v>
      </c>
      <c r="I52" s="99"/>
      <c r="J52" s="99"/>
      <c r="K52" s="99"/>
      <c r="L52" s="79"/>
    </row>
    <row r="53" spans="8:12" x14ac:dyDescent="0.45">
      <c r="H53" s="95">
        <v>48</v>
      </c>
      <c r="I53" s="99"/>
      <c r="J53" s="99"/>
      <c r="K53" s="99"/>
      <c r="L53" s="79"/>
    </row>
    <row r="54" spans="8:12" x14ac:dyDescent="0.45">
      <c r="H54" s="95">
        <v>49</v>
      </c>
      <c r="I54" s="99"/>
      <c r="J54" s="99"/>
      <c r="K54" s="99"/>
      <c r="L54" s="79"/>
    </row>
    <row r="55" spans="8:12" x14ac:dyDescent="0.45">
      <c r="H55" s="95">
        <v>50</v>
      </c>
      <c r="I55" s="99"/>
      <c r="J55" s="99"/>
      <c r="K55" s="99"/>
      <c r="L55" s="79"/>
    </row>
    <row r="56" spans="8:12" x14ac:dyDescent="0.45">
      <c r="H56" s="95">
        <v>51</v>
      </c>
      <c r="I56" s="99"/>
      <c r="J56" s="99"/>
      <c r="K56" s="99"/>
      <c r="L56" s="79"/>
    </row>
    <row r="57" spans="8:12" x14ac:dyDescent="0.45">
      <c r="H57" s="95">
        <v>52</v>
      </c>
      <c r="I57" s="99"/>
      <c r="J57" s="99"/>
      <c r="K57" s="99"/>
      <c r="L57" s="79"/>
    </row>
    <row r="58" spans="8:12" x14ac:dyDescent="0.45">
      <c r="H58" s="95">
        <v>53</v>
      </c>
      <c r="I58" s="99"/>
      <c r="J58" s="99"/>
      <c r="K58" s="99"/>
      <c r="L58" s="79"/>
    </row>
    <row r="59" spans="8:12" x14ac:dyDescent="0.45">
      <c r="H59" s="95">
        <v>54</v>
      </c>
      <c r="I59" s="99"/>
      <c r="J59" s="99"/>
      <c r="K59" s="99"/>
      <c r="L59" s="79"/>
    </row>
    <row r="60" spans="8:12" x14ac:dyDescent="0.45">
      <c r="H60" s="95">
        <v>55</v>
      </c>
      <c r="I60" s="99"/>
      <c r="J60" s="99"/>
      <c r="K60" s="99"/>
      <c r="L60" s="79"/>
    </row>
    <row r="61" spans="8:12" x14ac:dyDescent="0.45">
      <c r="H61" s="95">
        <v>56</v>
      </c>
      <c r="I61" s="99"/>
      <c r="J61" s="99"/>
      <c r="K61" s="99"/>
      <c r="L61" s="79"/>
    </row>
    <row r="62" spans="8:12" x14ac:dyDescent="0.45">
      <c r="H62" s="95">
        <v>57</v>
      </c>
      <c r="I62" s="99"/>
      <c r="J62" s="99"/>
      <c r="K62" s="99"/>
      <c r="L62" s="79"/>
    </row>
    <row r="63" spans="8:12" x14ac:dyDescent="0.45">
      <c r="H63" s="95">
        <v>58</v>
      </c>
      <c r="I63" s="99"/>
      <c r="J63" s="99"/>
      <c r="K63" s="99"/>
      <c r="L63" s="79"/>
    </row>
    <row r="64" spans="8:12" x14ac:dyDescent="0.45">
      <c r="H64" s="95">
        <v>59</v>
      </c>
      <c r="I64" s="99"/>
      <c r="J64" s="99"/>
      <c r="K64" s="99"/>
      <c r="L64" s="79"/>
    </row>
    <row r="65" spans="8:12" x14ac:dyDescent="0.45">
      <c r="H65" s="95">
        <v>60</v>
      </c>
      <c r="I65" s="99"/>
      <c r="J65" s="99"/>
      <c r="K65" s="99"/>
      <c r="L65" s="79"/>
    </row>
    <row r="66" spans="8:12" x14ac:dyDescent="0.45">
      <c r="H66" s="95">
        <v>61</v>
      </c>
      <c r="I66" s="99"/>
      <c r="J66" s="99"/>
      <c r="K66" s="99"/>
      <c r="L66" s="79"/>
    </row>
    <row r="67" spans="8:12" x14ac:dyDescent="0.45">
      <c r="H67" s="95">
        <v>62</v>
      </c>
      <c r="I67" s="99"/>
      <c r="J67" s="99"/>
      <c r="K67" s="99"/>
      <c r="L67" s="79"/>
    </row>
    <row r="68" spans="8:12" x14ac:dyDescent="0.45">
      <c r="H68" s="95">
        <v>63</v>
      </c>
      <c r="I68" s="99"/>
      <c r="J68" s="99"/>
      <c r="K68" s="99"/>
      <c r="L68" s="79"/>
    </row>
    <row r="69" spans="8:12" x14ac:dyDescent="0.45">
      <c r="H69" s="95">
        <v>64</v>
      </c>
      <c r="I69" s="99"/>
      <c r="J69" s="99"/>
      <c r="K69" s="99"/>
      <c r="L69" s="79"/>
    </row>
    <row r="70" spans="8:12" x14ac:dyDescent="0.45">
      <c r="H70" s="95">
        <v>65</v>
      </c>
      <c r="I70" s="99"/>
      <c r="J70" s="99"/>
      <c r="K70" s="99"/>
      <c r="L70" s="79"/>
    </row>
    <row r="71" spans="8:12" x14ac:dyDescent="0.45">
      <c r="H71" s="95">
        <v>66</v>
      </c>
      <c r="I71" s="99"/>
      <c r="J71" s="99"/>
      <c r="K71" s="99"/>
      <c r="L71" s="79"/>
    </row>
    <row r="72" spans="8:12" x14ac:dyDescent="0.45">
      <c r="H72" s="95">
        <v>67</v>
      </c>
      <c r="I72" s="99"/>
      <c r="J72" s="99"/>
      <c r="K72" s="99"/>
      <c r="L72" s="79"/>
    </row>
    <row r="73" spans="8:12" x14ac:dyDescent="0.45">
      <c r="H73" s="95">
        <v>68</v>
      </c>
      <c r="I73" s="99"/>
      <c r="J73" s="99"/>
      <c r="K73" s="99"/>
      <c r="L73" s="79"/>
    </row>
    <row r="74" spans="8:12" x14ac:dyDescent="0.45">
      <c r="H74" s="95">
        <v>69</v>
      </c>
      <c r="I74" s="99"/>
      <c r="J74" s="99"/>
      <c r="K74" s="99"/>
      <c r="L74" s="79"/>
    </row>
    <row r="75" spans="8:12" ht="14.65" thickBot="1" x14ac:dyDescent="0.5">
      <c r="H75" s="96">
        <v>70</v>
      </c>
      <c r="I75" s="100"/>
      <c r="J75" s="100"/>
      <c r="K75" s="100"/>
      <c r="L75" s="81"/>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Tables!$B$4:$B$13</xm:f>
          </x14:formula1>
          <xm:sqref>K6:K75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D15"/>
  <sheetViews>
    <sheetView workbookViewId="0">
      <selection activeCell="G7" sqref="G7"/>
    </sheetView>
  </sheetViews>
  <sheetFormatPr defaultRowHeight="14.25" x14ac:dyDescent="0.45"/>
  <sheetData>
    <row r="2" spans="2:4" ht="14.65" thickBot="1" x14ac:dyDescent="0.5"/>
    <row r="3" spans="2:4" ht="15" thickTop="1" thickBot="1" x14ac:dyDescent="0.5">
      <c r="B3" s="90" t="s">
        <v>103</v>
      </c>
      <c r="C3" s="91" t="s">
        <v>116</v>
      </c>
      <c r="D3" s="92" t="s">
        <v>117</v>
      </c>
    </row>
    <row r="4" spans="2:4" ht="14.65" thickTop="1" x14ac:dyDescent="0.45">
      <c r="B4" s="88" t="s">
        <v>112</v>
      </c>
      <c r="C4" s="72"/>
      <c r="D4" s="89"/>
    </row>
    <row r="5" spans="2:4" x14ac:dyDescent="0.45">
      <c r="B5" s="82" t="s">
        <v>113</v>
      </c>
      <c r="C5" s="69"/>
      <c r="D5" s="83"/>
    </row>
    <row r="6" spans="2:4" x14ac:dyDescent="0.45">
      <c r="B6" s="82" t="s">
        <v>114</v>
      </c>
      <c r="C6" s="69"/>
      <c r="D6" s="83"/>
    </row>
    <row r="7" spans="2:4" x14ac:dyDescent="0.45">
      <c r="B7" s="82" t="s">
        <v>115</v>
      </c>
      <c r="C7" s="69"/>
      <c r="D7" s="83"/>
    </row>
    <row r="8" spans="2:4" x14ac:dyDescent="0.45">
      <c r="B8" s="84"/>
      <c r="C8" s="69"/>
      <c r="D8" s="83"/>
    </row>
    <row r="9" spans="2:4" x14ac:dyDescent="0.45">
      <c r="B9" s="84"/>
      <c r="C9" s="69"/>
      <c r="D9" s="83"/>
    </row>
    <row r="10" spans="2:4" x14ac:dyDescent="0.45">
      <c r="B10" s="84"/>
      <c r="C10" s="69"/>
      <c r="D10" s="83"/>
    </row>
    <row r="11" spans="2:4" x14ac:dyDescent="0.45">
      <c r="B11" s="84"/>
      <c r="C11" s="69"/>
      <c r="D11" s="83"/>
    </row>
    <row r="12" spans="2:4" x14ac:dyDescent="0.45">
      <c r="B12" s="84"/>
      <c r="C12" s="69"/>
      <c r="D12" s="83"/>
    </row>
    <row r="13" spans="2:4" x14ac:dyDescent="0.45">
      <c r="B13" s="84"/>
      <c r="C13" s="69"/>
      <c r="D13" s="83"/>
    </row>
    <row r="14" spans="2:4" ht="14.65" thickBot="1" x14ac:dyDescent="0.5">
      <c r="B14" s="85"/>
      <c r="C14" s="86"/>
      <c r="D14" s="87"/>
    </row>
    <row r="15" spans="2:4" ht="14.65" thickTop="1"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Thruster Calcs</vt:lpstr>
      <vt:lpstr>Design</vt:lpstr>
      <vt:lpstr>Tables</vt:lpstr>
      <vt:lpstr>CalculatedROVThrust</vt:lpstr>
      <vt:lpstr>CommandedThrust</vt:lpstr>
      <vt:lpstr>ComputedThrust</vt:lpstr>
      <vt:lpstr>ForceScaleFactor</vt:lpstr>
      <vt:lpstr>FwdDir</vt:lpstr>
      <vt:lpstr>LateralThrusterElevationAngle</vt:lpstr>
      <vt:lpstr>MaximumTotalThrust</vt:lpstr>
      <vt:lpstr>MaxTotalRequirement</vt:lpstr>
      <vt:lpstr>MaxValues</vt:lpstr>
      <vt:lpstr>PilotInput</vt:lpstr>
      <vt:lpstr>ROV_Box</vt:lpstr>
      <vt:lpstr>ROV_ControlMatrix</vt:lpstr>
      <vt:lpstr>ROV_Elements</vt:lpstr>
      <vt:lpstr>ROV_Nodes</vt:lpstr>
      <vt:lpstr>ScaledThrustVectorsForPlotting</vt:lpstr>
      <vt:lpstr>ThrustDirection</vt:lpstr>
      <vt:lpstr>Thruster1</vt:lpstr>
      <vt:lpstr>Thruster2</vt:lpstr>
      <vt:lpstr>Thruster3</vt:lpstr>
      <vt:lpstr>Thruster4</vt:lpstr>
      <vt:lpstr>Thruster5</vt:lpstr>
      <vt:lpstr>Thruster6</vt:lpstr>
      <vt:lpstr>ThrusterLocations</vt:lpstr>
      <vt:lpstr>ThrusterThrust</vt:lpstr>
      <vt:lpstr>ThrusterToExclude</vt:lpstr>
      <vt:lpstr>ToeInAngle</vt:lpstr>
      <vt:lpstr>TubeSizes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sergev</dc:creator>
  <cp:lastModifiedBy>GLEN dgr8</cp:lastModifiedBy>
  <dcterms:created xsi:type="dcterms:W3CDTF">2017-03-15T04:52:22Z</dcterms:created>
  <dcterms:modified xsi:type="dcterms:W3CDTF">2019-02-07T05:07:33Z</dcterms:modified>
</cp:coreProperties>
</file>